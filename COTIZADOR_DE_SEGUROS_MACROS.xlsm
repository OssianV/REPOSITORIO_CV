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ssia\Documents\SEMESTRES_FACULTAD\4to Semestre\Analisis Avanzado de Datos\Actividades Terminadas\"/>
    </mc:Choice>
  </mc:AlternateContent>
  <xr:revisionPtr revIDLastSave="0" documentId="13_ncr:1_{E7FAE855-827C-4683-B995-36BC76826A8B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Qx" sheetId="2" r:id="rId1"/>
    <sheet name="COTIZADOR_FORMULADO" sheetId="8" r:id="rId2"/>
    <sheet name="COTIZADOR_MACROS" sheetId="11" r:id="rId3"/>
    <sheet name="CARTERA" sheetId="12" r:id="rId4"/>
  </sheets>
  <definedNames>
    <definedName name="_xlnm._FilterDatabase" localSheetId="3" hidden="1">CARTERA!$A$1:$L$301</definedName>
    <definedName name="FUMA" localSheetId="3">#REF!</definedName>
    <definedName name="FUMA" localSheetId="1">Qx!#REF!</definedName>
    <definedName name="FUMA" localSheetId="2">Qx!#REF!</definedName>
    <definedName name="FUMA">Qx!#REF!</definedName>
    <definedName name="mensualidades" localSheetId="3">#REF!</definedName>
    <definedName name="mensualidades" localSheetId="1">Qx!#REF!</definedName>
    <definedName name="mensualidades" localSheetId="2">Qx!#REF!</definedName>
    <definedName name="mensualidades">Qx!#REF!</definedName>
    <definedName name="SEXO" localSheetId="3">#REF!</definedName>
    <definedName name="SEXO" localSheetId="1">Qx!#REF!</definedName>
    <definedName name="SEXO" localSheetId="2">Qx!#REF!</definedName>
    <definedName name="SEXO">Qx!#REF!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8" l="1"/>
  <c r="C20" i="8"/>
  <c r="E4" i="8" s="1"/>
  <c r="C14" i="8"/>
  <c r="C13" i="8"/>
  <c r="C12" i="8" s="1"/>
  <c r="C21" i="8" l="1"/>
  <c r="E5" i="8"/>
  <c r="C15" i="8"/>
  <c r="C17" i="8" s="1"/>
  <c r="J3" i="8" l="1"/>
  <c r="C25" i="8"/>
  <c r="F4" i="8" s="1"/>
  <c r="C30" i="8"/>
  <c r="E6" i="8"/>
  <c r="F6" i="8" l="1"/>
  <c r="F5" i="8"/>
  <c r="C26" i="8"/>
  <c r="C27" i="8"/>
  <c r="H4" i="8"/>
  <c r="E7" i="8"/>
  <c r="F7" i="8" s="1"/>
  <c r="G6" i="8" l="1"/>
  <c r="C28" i="8"/>
  <c r="C31" i="8" s="1"/>
  <c r="E8" i="8"/>
  <c r="F8" i="8" s="1"/>
  <c r="G7" i="8"/>
  <c r="G5" i="8" l="1"/>
  <c r="E9" i="8"/>
  <c r="F9" i="8" s="1"/>
  <c r="G8" i="8"/>
  <c r="G4" i="8"/>
  <c r="I4" i="8" s="1"/>
  <c r="J4" i="8" s="1"/>
  <c r="H5" i="8" l="1"/>
  <c r="I5" i="8" s="1"/>
  <c r="J5" i="8" s="1"/>
  <c r="E10" i="8"/>
  <c r="F10" i="8" s="1"/>
  <c r="H6" i="8" l="1"/>
  <c r="I6" i="8" s="1"/>
  <c r="J6" i="8" s="1"/>
  <c r="G9" i="8"/>
  <c r="E11" i="8"/>
  <c r="F11" i="8" s="1"/>
  <c r="G10" i="8"/>
  <c r="H7" i="8" l="1"/>
  <c r="I7" i="8" s="1"/>
  <c r="J7" i="8" s="1"/>
  <c r="E12" i="8"/>
  <c r="F12" i="8" s="1"/>
  <c r="G11" i="8"/>
  <c r="E13" i="8" l="1"/>
  <c r="F13" i="8" s="1"/>
  <c r="G12" i="8"/>
  <c r="H8" i="8"/>
  <c r="I8" i="8" s="1"/>
  <c r="J8" i="8" s="1"/>
  <c r="E14" i="8" l="1"/>
  <c r="F14" i="8" s="1"/>
  <c r="H9" i="8"/>
  <c r="I9" i="8" s="1"/>
  <c r="J9" i="8" s="1"/>
  <c r="H10" i="8" l="1"/>
  <c r="I10" i="8" s="1"/>
  <c r="J10" i="8" s="1"/>
  <c r="G13" i="8"/>
  <c r="E15" i="8"/>
  <c r="F15" i="8" s="1"/>
  <c r="G14" i="8"/>
  <c r="H11" i="8" l="1"/>
  <c r="I11" i="8" s="1"/>
  <c r="J11" i="8" s="1"/>
  <c r="H34" i="8"/>
  <c r="G15" i="8"/>
  <c r="L34" i="8" l="1"/>
  <c r="K34" i="8"/>
  <c r="J34" i="8"/>
  <c r="M34" i="8"/>
  <c r="I34" i="8"/>
  <c r="H12" i="8"/>
  <c r="I12" i="8" s="1"/>
  <c r="J12" i="8" s="1"/>
  <c r="H13" i="8" l="1"/>
  <c r="I13" i="8" s="1"/>
  <c r="J13" i="8" s="1"/>
  <c r="H14" i="8" l="1"/>
  <c r="I14" i="8" s="1"/>
  <c r="J14" i="8" s="1"/>
  <c r="H15" i="8" l="1"/>
  <c r="I15" i="8" s="1"/>
  <c r="J15" i="8" s="1"/>
</calcChain>
</file>

<file path=xl/sharedStrings.xml><?xml version="1.0" encoding="utf-8"?>
<sst xmlns="http://schemas.openxmlformats.org/spreadsheetml/2006/main" count="990" uniqueCount="54">
  <si>
    <t>EDAD</t>
  </si>
  <si>
    <t>qx (2000 I)</t>
  </si>
  <si>
    <t>SEXO</t>
  </si>
  <si>
    <t>COND. FUMADOR</t>
  </si>
  <si>
    <t>Edad Actuarial</t>
  </si>
  <si>
    <t>SUMA ASEGURADA</t>
  </si>
  <si>
    <t>Severidad</t>
  </si>
  <si>
    <t>G. Adq.</t>
  </si>
  <si>
    <t>G. Admin.</t>
  </si>
  <si>
    <t>Utilidad</t>
  </si>
  <si>
    <t>Prima de Tarifa</t>
  </si>
  <si>
    <t>Pima Pura de Riesgo</t>
  </si>
  <si>
    <t>COTIZACIÓN</t>
  </si>
  <si>
    <t>Probabilidad de muerte</t>
  </si>
  <si>
    <t>PRIMER PAGO</t>
  </si>
  <si>
    <t>PAGOS SUBSECUENTES</t>
  </si>
  <si>
    <t>SIN FINANCIAMIENTO</t>
  </si>
  <si>
    <t>COSTO DEL FINANCIAMIENTO</t>
  </si>
  <si>
    <t>TIPO PERIODO</t>
  </si>
  <si>
    <t>CANTIDAD PERIODOS</t>
  </si>
  <si>
    <t>PAGO</t>
  </si>
  <si>
    <t># PAGOS SUBSECUENTES</t>
  </si>
  <si>
    <t>COTIZADOR DE SEGUROS DE VIDA</t>
  </si>
  <si>
    <t>"Haciendo posible lo imposible"</t>
  </si>
  <si>
    <t>SI</t>
  </si>
  <si>
    <t>PERIODO</t>
  </si>
  <si>
    <t>INTERES</t>
  </si>
  <si>
    <t>CAPITAL</t>
  </si>
  <si>
    <t>IVA</t>
  </si>
  <si>
    <t>SALDO</t>
  </si>
  <si>
    <t>SEMESTRAL</t>
  </si>
  <si>
    <t>MASCULINO</t>
  </si>
  <si>
    <t>PRIMA TOTAL</t>
  </si>
  <si>
    <t>INTERES EQUIVALENTE</t>
  </si>
  <si>
    <t>TIIE AL 26/09/22</t>
  </si>
  <si>
    <t>.</t>
  </si>
  <si>
    <t>MENSUAL</t>
  </si>
  <si>
    <t>FEMENINO</t>
  </si>
  <si>
    <t>TRIMESTRAL</t>
  </si>
  <si>
    <t>Cliente</t>
  </si>
  <si>
    <t>Suma Asegurada</t>
  </si>
  <si>
    <t>Edad</t>
  </si>
  <si>
    <t>Sexo</t>
  </si>
  <si>
    <t>Fumador</t>
  </si>
  <si>
    <t>Frecuencia</t>
  </si>
  <si>
    <t>Prima Pura</t>
  </si>
  <si>
    <t>Prima Tarifa</t>
  </si>
  <si>
    <t>Monto Primer Pago</t>
  </si>
  <si>
    <t>Monto Pagos Subsecuentes</t>
  </si>
  <si>
    <t>Cantidad Pagos Subsecuentes</t>
  </si>
  <si>
    <t>Prima Neta</t>
  </si>
  <si>
    <t>NO</t>
  </si>
  <si>
    <t>BIMESTRAL</t>
  </si>
  <si>
    <t>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</si>
</sst>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;\-&quot;$&quot;#,##0.00"/>
    <numFmt numFmtId="165" formatCode="_-&quot;$&quot;* #,##0.00_-;\-&quot;$&quot;* #,##0.00_-;_-&quot;$&quot;* &quot;-&quot;??_-;_-@_-"/>
    <numFmt numFmtId="166" formatCode="0.000000"/>
    <numFmt numFmtId="167" formatCode="0.0000%"/>
    <numFmt numFmtId="168" formatCode="0.0000"/>
    <numFmt numFmtId="169" formatCode="_-&quot;$&quot;* #,##0_-;\-&quot;$&quot;* #,##0_-;_-&quot;$&quot;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entury Gothic"/>
      <family val="2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sz val="11"/>
      <name val="Century Gothic"/>
      <family val="2"/>
    </font>
    <font>
      <b/>
      <sz val="14"/>
      <color theme="1"/>
      <name val="Century Gothic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entury Gothic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AD3B8A"/>
        <bgColor indexed="64"/>
      </patternFill>
    </fill>
    <fill>
      <patternFill patternType="solid">
        <fgColor rgb="FFFBD031"/>
        <bgColor indexed="64"/>
      </patternFill>
    </fill>
    <fill>
      <patternFill patternType="solid">
        <fgColor rgb="FFF6C6F7"/>
        <bgColor indexed="64"/>
      </patternFill>
    </fill>
    <fill>
      <patternFill patternType="solid">
        <fgColor rgb="FFAD3B8A"/>
        <bgColor theme="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0" borderId="0"/>
    <xf numFmtId="165" fontId="1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79">
    <xf numFmtId="0" fontId="0" fillId="0" borderId="0" xfId="0"/>
    <xf numFmtId="0" fontId="2" fillId="0" borderId="0" xfId="2"/>
    <xf numFmtId="0" fontId="0" fillId="0" borderId="0" xfId="0" applyAlignment="1">
      <alignment horizontal="center"/>
    </xf>
    <xf numFmtId="165" fontId="0" fillId="0" borderId="0" xfId="3" applyFont="1"/>
    <xf numFmtId="0" fontId="4" fillId="4" borderId="2" xfId="0" applyFont="1" applyFill="1" applyBorder="1" applyAlignment="1">
      <alignment horizontal="center"/>
    </xf>
    <xf numFmtId="0" fontId="5" fillId="0" borderId="0" xfId="0" applyFont="1"/>
    <xf numFmtId="0" fontId="4" fillId="4" borderId="3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left"/>
    </xf>
    <xf numFmtId="0" fontId="4" fillId="4" borderId="3" xfId="0" applyFont="1" applyFill="1" applyBorder="1" applyAlignment="1">
      <alignment horizontal="left"/>
    </xf>
    <xf numFmtId="0" fontId="4" fillId="4" borderId="4" xfId="0" applyFont="1" applyFill="1" applyBorder="1" applyAlignment="1">
      <alignment horizontal="center"/>
    </xf>
    <xf numFmtId="165" fontId="5" fillId="2" borderId="4" xfId="3" applyFont="1" applyFill="1" applyBorder="1" applyAlignment="1">
      <alignment horizontal="center"/>
    </xf>
    <xf numFmtId="0" fontId="4" fillId="4" borderId="4" xfId="0" applyFont="1" applyFill="1" applyBorder="1" applyAlignment="1">
      <alignment horizontal="left"/>
    </xf>
    <xf numFmtId="9" fontId="5" fillId="2" borderId="3" xfId="1" applyFont="1" applyFill="1" applyBorder="1"/>
    <xf numFmtId="165" fontId="5" fillId="3" borderId="1" xfId="0" applyNumberFormat="1" applyFont="1" applyFill="1" applyBorder="1"/>
    <xf numFmtId="0" fontId="4" fillId="4" borderId="2" xfId="0" applyFont="1" applyFill="1" applyBorder="1"/>
    <xf numFmtId="0" fontId="4" fillId="4" borderId="3" xfId="0" applyFont="1" applyFill="1" applyBorder="1"/>
    <xf numFmtId="165" fontId="5" fillId="0" borderId="3" xfId="3" applyFont="1" applyBorder="1" applyAlignment="1">
      <alignment horizontal="right"/>
    </xf>
    <xf numFmtId="0" fontId="4" fillId="4" borderId="4" xfId="0" applyFont="1" applyFill="1" applyBorder="1"/>
    <xf numFmtId="165" fontId="5" fillId="0" borderId="4" xfId="3" applyFont="1" applyBorder="1" applyAlignment="1">
      <alignment horizontal="right"/>
    </xf>
    <xf numFmtId="165" fontId="5" fillId="0" borderId="2" xfId="3" applyFont="1" applyBorder="1"/>
    <xf numFmtId="0" fontId="6" fillId="5" borderId="1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9" fontId="5" fillId="6" borderId="2" xfId="1" applyFont="1" applyFill="1" applyBorder="1"/>
    <xf numFmtId="9" fontId="5" fillId="6" borderId="4" xfId="1" applyFont="1" applyFill="1" applyBorder="1"/>
    <xf numFmtId="167" fontId="5" fillId="6" borderId="2" xfId="1" applyNumberFormat="1" applyFont="1" applyFill="1" applyBorder="1" applyAlignment="1">
      <alignment horizontal="center"/>
    </xf>
    <xf numFmtId="165" fontId="5" fillId="6" borderId="3" xfId="3" applyFont="1" applyFill="1" applyBorder="1" applyAlignment="1">
      <alignment horizontal="center"/>
    </xf>
    <xf numFmtId="165" fontId="5" fillId="6" borderId="2" xfId="3" applyFont="1" applyFill="1" applyBorder="1" applyAlignment="1">
      <alignment horizontal="right"/>
    </xf>
    <xf numFmtId="165" fontId="5" fillId="6" borderId="3" xfId="3" applyFont="1" applyFill="1" applyBorder="1" applyAlignment="1">
      <alignment horizontal="right"/>
    </xf>
    <xf numFmtId="165" fontId="5" fillId="6" borderId="4" xfId="3" applyFont="1" applyFill="1" applyBorder="1"/>
    <xf numFmtId="167" fontId="7" fillId="0" borderId="1" xfId="1" applyNumberFormat="1" applyFont="1" applyBorder="1"/>
    <xf numFmtId="0" fontId="7" fillId="0" borderId="1" xfId="2" applyFont="1" applyBorder="1" applyAlignment="1">
      <alignment horizontal="center"/>
    </xf>
    <xf numFmtId="0" fontId="2" fillId="0" borderId="0" xfId="2" applyAlignment="1">
      <alignment horizontal="center"/>
    </xf>
    <xf numFmtId="0" fontId="4" fillId="7" borderId="1" xfId="2" applyFont="1" applyFill="1" applyBorder="1" applyAlignment="1">
      <alignment horizontal="center"/>
    </xf>
    <xf numFmtId="166" fontId="4" fillId="7" borderId="1" xfId="2" applyNumberFormat="1" applyFont="1" applyFill="1" applyBorder="1" applyAlignment="1">
      <alignment horizontal="center"/>
    </xf>
    <xf numFmtId="9" fontId="0" fillId="0" borderId="0" xfId="1" applyFont="1"/>
    <xf numFmtId="0" fontId="3" fillId="0" borderId="0" xfId="0" applyFont="1"/>
    <xf numFmtId="168" fontId="0" fillId="0" borderId="0" xfId="1" applyNumberFormat="1" applyFont="1"/>
    <xf numFmtId="0" fontId="10" fillId="0" borderId="0" xfId="0" applyFont="1" applyAlignment="1">
      <alignment vertical="center"/>
    </xf>
    <xf numFmtId="0" fontId="4" fillId="4" borderId="9" xfId="0" applyFont="1" applyFill="1" applyBorder="1" applyAlignment="1">
      <alignment horizontal="center"/>
    </xf>
    <xf numFmtId="9" fontId="5" fillId="6" borderId="7" xfId="1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1" fontId="5" fillId="2" borderId="12" xfId="1" applyNumberFormat="1" applyFont="1" applyFill="1" applyBorder="1" applyAlignment="1">
      <alignment horizontal="center"/>
    </xf>
    <xf numFmtId="1" fontId="5" fillId="6" borderId="12" xfId="0" applyNumberFormat="1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165" fontId="0" fillId="0" borderId="0" xfId="0" applyNumberFormat="1"/>
    <xf numFmtId="44" fontId="0" fillId="0" borderId="0" xfId="0" applyNumberFormat="1"/>
    <xf numFmtId="0" fontId="9" fillId="4" borderId="0" xfId="0" applyFont="1" applyFill="1" applyAlignment="1">
      <alignment horizontal="center"/>
    </xf>
    <xf numFmtId="167" fontId="5" fillId="2" borderId="12" xfId="1" applyNumberFormat="1" applyFont="1" applyFill="1" applyBorder="1" applyAlignment="1">
      <alignment horizontal="center"/>
    </xf>
    <xf numFmtId="167" fontId="5" fillId="6" borderId="8" xfId="1" applyNumberFormat="1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10" fillId="0" borderId="0" xfId="0" applyFont="1" applyAlignment="1">
      <alignment vertical="center" wrapText="1"/>
    </xf>
    <xf numFmtId="0" fontId="10" fillId="0" borderId="0" xfId="0" applyFont="1"/>
    <xf numFmtId="0" fontId="8" fillId="0" borderId="0" xfId="0" applyFont="1" applyAlignment="1">
      <alignment vertical="center"/>
    </xf>
    <xf numFmtId="164" fontId="5" fillId="6" borderId="3" xfId="3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65" fontId="5" fillId="0" borderId="0" xfId="3" applyFont="1"/>
    <xf numFmtId="165" fontId="5" fillId="0" borderId="0" xfId="0" applyNumberFormat="1" applyFont="1"/>
    <xf numFmtId="44" fontId="5" fillId="0" borderId="0" xfId="0" applyNumberFormat="1" applyFont="1"/>
    <xf numFmtId="0" fontId="4" fillId="4" borderId="5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8" fillId="0" borderId="0" xfId="2" applyFont="1"/>
    <xf numFmtId="169" fontId="8" fillId="0" borderId="0" xfId="4" applyNumberFormat="1" applyFont="1"/>
    <xf numFmtId="165" fontId="8" fillId="8" borderId="0" xfId="3" applyFont="1" applyFill="1"/>
    <xf numFmtId="0" fontId="8" fillId="8" borderId="0" xfId="2" applyFont="1" applyFill="1"/>
    <xf numFmtId="0" fontId="11" fillId="0" borderId="0" xfId="2" applyFont="1"/>
    <xf numFmtId="169" fontId="5" fillId="0" borderId="0" xfId="4" applyNumberFormat="1" applyFont="1"/>
    <xf numFmtId="165" fontId="11" fillId="0" borderId="0" xfId="3" applyFont="1"/>
    <xf numFmtId="164" fontId="5" fillId="2" borderId="4" xfId="3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  <xf numFmtId="0" fontId="4" fillId="6" borderId="10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7" fontId="5" fillId="0" borderId="0" xfId="0" applyNumberFormat="1" applyFont="1"/>
  </cellXfs>
  <cellStyles count="5">
    <cellStyle name="Currency" xfId="3" builtinId="4"/>
    <cellStyle name="Moneda 2" xfId="4" xr:uid="{00000000-0005-0000-0000-000001000000}"/>
    <cellStyle name="Normal" xfId="0" builtinId="0"/>
    <cellStyle name="Normal 2" xfId="2" xr:uid="{00000000-0005-0000-0000-000003000000}"/>
    <cellStyle name="Percent" xfId="1" builtinId="5"/>
  </cellStyles>
  <dxfs count="0"/>
  <tableStyles count="0" defaultTableStyle="TableStyleMedium2" defaultPivotStyle="PivotStyleLight16"/>
  <colors>
    <mruColors>
      <color rgb="FFFBD031"/>
      <color rgb="FFAD3B8A"/>
      <color rgb="FFF6C6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714376</xdr:colOff>
      <xdr:row>3</xdr:row>
      <xdr:rowOff>9526</xdr:rowOff>
    </xdr:from>
    <xdr:to>
      <xdr:col>15</xdr:col>
      <xdr:colOff>38099</xdr:colOff>
      <xdr:row>14</xdr:row>
      <xdr:rowOff>206720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87126" y="628651"/>
          <a:ext cx="3836192" cy="25546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714376</xdr:colOff>
      <xdr:row>3</xdr:row>
      <xdr:rowOff>9526</xdr:rowOff>
    </xdr:from>
    <xdr:to>
      <xdr:col>15</xdr:col>
      <xdr:colOff>38100</xdr:colOff>
      <xdr:row>14</xdr:row>
      <xdr:rowOff>206720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4FB07FE-4DA3-4F04-8030-94CE46D6C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06126" y="619126"/>
          <a:ext cx="3829048" cy="25022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742950</xdr:colOff>
          <xdr:row>17</xdr:row>
          <xdr:rowOff>171450</xdr:rowOff>
        </xdr:from>
        <xdr:to>
          <xdr:col>14</xdr:col>
          <xdr:colOff>9525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Realizar cálculo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D1:E90"/>
  <sheetViews>
    <sheetView zoomScaleNormal="100" workbookViewId="0">
      <selection activeCell="D2" sqref="D2"/>
    </sheetView>
  </sheetViews>
  <sheetFormatPr defaultColWidth="10.85546875" defaultRowHeight="15.75" x14ac:dyDescent="0.25"/>
  <cols>
    <col min="1" max="3" width="10.85546875" style="1"/>
    <col min="4" max="4" width="11" style="33" bestFit="1" customWidth="1"/>
    <col min="5" max="5" width="11.5703125" style="1" bestFit="1" customWidth="1"/>
    <col min="6" max="16384" width="10.85546875" style="1"/>
  </cols>
  <sheetData>
    <row r="1" spans="4:5" x14ac:dyDescent="0.25">
      <c r="D1" s="34" t="s">
        <v>0</v>
      </c>
      <c r="E1" s="35" t="s">
        <v>1</v>
      </c>
    </row>
    <row r="2" spans="4:5" ht="16.5" x14ac:dyDescent="0.3">
      <c r="D2" s="32">
        <v>12</v>
      </c>
      <c r="E2" s="31">
        <v>3.9599999999999998E-4</v>
      </c>
    </row>
    <row r="3" spans="4:5" ht="16.5" x14ac:dyDescent="0.3">
      <c r="D3" s="32">
        <v>13</v>
      </c>
      <c r="E3" s="31">
        <v>4.2700000000000002E-4</v>
      </c>
    </row>
    <row r="4" spans="4:5" ht="16.5" x14ac:dyDescent="0.3">
      <c r="D4" s="32">
        <v>14</v>
      </c>
      <c r="E4" s="31">
        <v>4.6000000000000001E-4</v>
      </c>
    </row>
    <row r="5" spans="4:5" ht="16.5" x14ac:dyDescent="0.3">
      <c r="D5" s="32">
        <v>15</v>
      </c>
      <c r="E5" s="31">
        <v>4.95E-4</v>
      </c>
    </row>
    <row r="6" spans="4:5" ht="16.5" x14ac:dyDescent="0.3">
      <c r="D6" s="32">
        <v>16</v>
      </c>
      <c r="E6" s="31">
        <v>5.3300000000000005E-4</v>
      </c>
    </row>
    <row r="7" spans="4:5" ht="16.5" x14ac:dyDescent="0.3">
      <c r="D7" s="32">
        <v>17</v>
      </c>
      <c r="E7" s="31">
        <v>5.7499999999999999E-4</v>
      </c>
    </row>
    <row r="8" spans="4:5" ht="16.5" x14ac:dyDescent="0.3">
      <c r="D8" s="32">
        <v>18</v>
      </c>
      <c r="E8" s="31">
        <v>6.1899999999999998E-4</v>
      </c>
    </row>
    <row r="9" spans="4:5" ht="16.5" x14ac:dyDescent="0.3">
      <c r="D9" s="32">
        <v>19</v>
      </c>
      <c r="E9" s="31">
        <v>6.6699999999999995E-4</v>
      </c>
    </row>
    <row r="10" spans="4:5" ht="16.5" x14ac:dyDescent="0.3">
      <c r="D10" s="32">
        <v>20</v>
      </c>
      <c r="E10" s="31">
        <v>7.18E-4</v>
      </c>
    </row>
    <row r="11" spans="4:5" ht="16.5" x14ac:dyDescent="0.3">
      <c r="D11" s="32">
        <v>21</v>
      </c>
      <c r="E11" s="31">
        <v>7.7300000000000003E-4</v>
      </c>
    </row>
    <row r="12" spans="4:5" ht="16.5" x14ac:dyDescent="0.3">
      <c r="D12" s="32">
        <v>22</v>
      </c>
      <c r="E12" s="31">
        <v>8.3299999999999997E-4</v>
      </c>
    </row>
    <row r="13" spans="4:5" ht="16.5" x14ac:dyDescent="0.3">
      <c r="D13" s="32">
        <v>23</v>
      </c>
      <c r="E13" s="31">
        <v>8.9700000000000001E-4</v>
      </c>
    </row>
    <row r="14" spans="4:5" ht="16.5" x14ac:dyDescent="0.3">
      <c r="D14" s="32">
        <v>24</v>
      </c>
      <c r="E14" s="31">
        <v>9.6599999999999995E-4</v>
      </c>
    </row>
    <row r="15" spans="4:5" ht="16.5" x14ac:dyDescent="0.3">
      <c r="D15" s="32">
        <v>25</v>
      </c>
      <c r="E15" s="31">
        <v>1.041E-3</v>
      </c>
    </row>
    <row r="16" spans="4:5" ht="16.5" x14ac:dyDescent="0.3">
      <c r="D16" s="32">
        <v>26</v>
      </c>
      <c r="E16" s="31">
        <v>1.121E-3</v>
      </c>
    </row>
    <row r="17" spans="4:5" ht="16.5" x14ac:dyDescent="0.3">
      <c r="D17" s="32">
        <v>27</v>
      </c>
      <c r="E17" s="31">
        <v>1.207E-3</v>
      </c>
    </row>
    <row r="18" spans="4:5" ht="16.5" x14ac:dyDescent="0.3">
      <c r="D18" s="32">
        <v>28</v>
      </c>
      <c r="E18" s="31">
        <v>1.2999999999999999E-3</v>
      </c>
    </row>
    <row r="19" spans="4:5" ht="16.5" x14ac:dyDescent="0.3">
      <c r="D19" s="32">
        <v>29</v>
      </c>
      <c r="E19" s="31">
        <v>1.4E-3</v>
      </c>
    </row>
    <row r="20" spans="4:5" ht="16.5" x14ac:dyDescent="0.3">
      <c r="D20" s="32">
        <v>30</v>
      </c>
      <c r="E20" s="31">
        <v>1.508E-3</v>
      </c>
    </row>
    <row r="21" spans="4:5" ht="16.5" x14ac:dyDescent="0.3">
      <c r="D21" s="32">
        <v>31</v>
      </c>
      <c r="E21" s="31">
        <v>1.624E-3</v>
      </c>
    </row>
    <row r="22" spans="4:5" ht="16.5" x14ac:dyDescent="0.3">
      <c r="D22" s="32">
        <v>32</v>
      </c>
      <c r="E22" s="31">
        <v>1.7489999999999999E-3</v>
      </c>
    </row>
    <row r="23" spans="4:5" ht="16.5" x14ac:dyDescent="0.3">
      <c r="D23" s="32">
        <v>33</v>
      </c>
      <c r="E23" s="31">
        <v>1.884E-3</v>
      </c>
    </row>
    <row r="24" spans="4:5" ht="16.5" x14ac:dyDescent="0.3">
      <c r="D24" s="32">
        <v>34</v>
      </c>
      <c r="E24" s="31">
        <v>2.029E-3</v>
      </c>
    </row>
    <row r="25" spans="4:5" ht="16.5" x14ac:dyDescent="0.3">
      <c r="D25" s="32">
        <v>35</v>
      </c>
      <c r="E25" s="31">
        <v>2.186E-3</v>
      </c>
    </row>
    <row r="26" spans="4:5" ht="16.5" x14ac:dyDescent="0.3">
      <c r="D26" s="32">
        <v>36</v>
      </c>
      <c r="E26" s="31">
        <v>2.3540000000000002E-3</v>
      </c>
    </row>
    <row r="27" spans="4:5" ht="16.5" x14ac:dyDescent="0.3">
      <c r="D27" s="32">
        <v>37</v>
      </c>
      <c r="E27" s="31">
        <v>2.5349999999999999E-3</v>
      </c>
    </row>
    <row r="28" spans="4:5" ht="16.5" x14ac:dyDescent="0.3">
      <c r="D28" s="32">
        <v>38</v>
      </c>
      <c r="E28" s="31">
        <v>2.7299999999999998E-3</v>
      </c>
    </row>
    <row r="29" spans="4:5" ht="16.5" x14ac:dyDescent="0.3">
      <c r="D29" s="32">
        <v>39</v>
      </c>
      <c r="E29" s="31">
        <v>2.9399999999999999E-3</v>
      </c>
    </row>
    <row r="30" spans="4:5" ht="16.5" x14ac:dyDescent="0.3">
      <c r="D30" s="32">
        <v>40</v>
      </c>
      <c r="E30" s="31">
        <v>3.166E-3</v>
      </c>
    </row>
    <row r="31" spans="4:5" ht="16.5" x14ac:dyDescent="0.3">
      <c r="D31" s="32">
        <v>41</v>
      </c>
      <c r="E31" s="31">
        <v>3.4099999999999998E-3</v>
      </c>
    </row>
    <row r="32" spans="4:5" ht="16.5" x14ac:dyDescent="0.3">
      <c r="D32" s="32">
        <v>42</v>
      </c>
      <c r="E32" s="31">
        <v>3.6719999999999999E-3</v>
      </c>
    </row>
    <row r="33" spans="4:5" ht="16.5" x14ac:dyDescent="0.3">
      <c r="D33" s="32">
        <v>43</v>
      </c>
      <c r="E33" s="31">
        <v>3.954E-3</v>
      </c>
    </row>
    <row r="34" spans="4:5" ht="16.5" x14ac:dyDescent="0.3">
      <c r="D34" s="32">
        <v>44</v>
      </c>
      <c r="E34" s="31">
        <v>4.2579999999999996E-3</v>
      </c>
    </row>
    <row r="35" spans="4:5" ht="16.5" x14ac:dyDescent="0.3">
      <c r="D35" s="32">
        <v>45</v>
      </c>
      <c r="E35" s="31">
        <v>4.5849999999999997E-3</v>
      </c>
    </row>
    <row r="36" spans="4:5" ht="16.5" x14ac:dyDescent="0.3">
      <c r="D36" s="32">
        <v>46</v>
      </c>
      <c r="E36" s="31">
        <v>4.9379999999999997E-3</v>
      </c>
    </row>
    <row r="37" spans="4:5" ht="16.5" x14ac:dyDescent="0.3">
      <c r="D37" s="32">
        <v>47</v>
      </c>
      <c r="E37" s="31">
        <v>5.3169999999999997E-3</v>
      </c>
    </row>
    <row r="38" spans="4:5" ht="16.5" x14ac:dyDescent="0.3">
      <c r="D38" s="32">
        <v>48</v>
      </c>
      <c r="E38" s="31">
        <v>5.7250000000000001E-3</v>
      </c>
    </row>
    <row r="39" spans="4:5" ht="16.5" x14ac:dyDescent="0.3">
      <c r="D39" s="32">
        <v>49</v>
      </c>
      <c r="E39" s="31">
        <v>6.1640000000000002E-3</v>
      </c>
    </row>
    <row r="40" spans="4:5" ht="16.5" x14ac:dyDescent="0.3">
      <c r="D40" s="32">
        <v>50</v>
      </c>
      <c r="E40" s="31">
        <v>6.6369999999999997E-3</v>
      </c>
    </row>
    <row r="41" spans="4:5" ht="16.5" x14ac:dyDescent="0.3">
      <c r="D41" s="32">
        <v>51</v>
      </c>
      <c r="E41" s="31">
        <v>7.1450000000000003E-3</v>
      </c>
    </row>
    <row r="42" spans="4:5" ht="16.5" x14ac:dyDescent="0.3">
      <c r="D42" s="32">
        <v>52</v>
      </c>
      <c r="E42" s="31">
        <v>7.6930000000000002E-3</v>
      </c>
    </row>
    <row r="43" spans="4:5" ht="16.5" x14ac:dyDescent="0.3">
      <c r="D43" s="32">
        <v>53</v>
      </c>
      <c r="E43" s="31">
        <v>8.2819999999999994E-3</v>
      </c>
    </row>
    <row r="44" spans="4:5" ht="16.5" x14ac:dyDescent="0.3">
      <c r="D44" s="32">
        <v>54</v>
      </c>
      <c r="E44" s="31">
        <v>8.9149999999999993E-3</v>
      </c>
    </row>
    <row r="45" spans="4:5" ht="16.5" x14ac:dyDescent="0.3">
      <c r="D45" s="32">
        <v>55</v>
      </c>
      <c r="E45" s="31">
        <v>9.5969999999999996E-3</v>
      </c>
    </row>
    <row r="46" spans="4:5" ht="16.5" x14ac:dyDescent="0.3">
      <c r="D46" s="32">
        <v>56</v>
      </c>
      <c r="E46" s="31">
        <v>1.0330000000000001E-2</v>
      </c>
    </row>
    <row r="47" spans="4:5" ht="16.5" x14ac:dyDescent="0.3">
      <c r="D47" s="32">
        <v>57</v>
      </c>
      <c r="E47" s="31">
        <v>1.1119E-2</v>
      </c>
    </row>
    <row r="48" spans="4:5" ht="16.5" x14ac:dyDescent="0.3">
      <c r="D48" s="32">
        <v>58</v>
      </c>
      <c r="E48" s="31">
        <v>1.1967E-2</v>
      </c>
    </row>
    <row r="49" spans="4:5" ht="16.5" x14ac:dyDescent="0.3">
      <c r="D49" s="32">
        <v>59</v>
      </c>
      <c r="E49" s="31">
        <v>1.2879E-2</v>
      </c>
    </row>
    <row r="50" spans="4:5" ht="16.5" x14ac:dyDescent="0.3">
      <c r="D50" s="32">
        <v>60</v>
      </c>
      <c r="E50" s="31">
        <v>1.3860000000000001E-2</v>
      </c>
    </row>
    <row r="51" spans="4:5" ht="16.5" x14ac:dyDescent="0.3">
      <c r="D51" s="32">
        <v>61</v>
      </c>
      <c r="E51" s="31">
        <v>1.4914E-2</v>
      </c>
    </row>
    <row r="52" spans="4:5" ht="16.5" x14ac:dyDescent="0.3">
      <c r="D52" s="32">
        <v>62</v>
      </c>
      <c r="E52" s="31">
        <v>1.6048E-2</v>
      </c>
    </row>
    <row r="53" spans="4:5" ht="16.5" x14ac:dyDescent="0.3">
      <c r="D53" s="32">
        <v>63</v>
      </c>
      <c r="E53" s="31">
        <v>1.7264999999999999E-2</v>
      </c>
    </row>
    <row r="54" spans="4:5" ht="16.5" x14ac:dyDescent="0.3">
      <c r="D54" s="32">
        <v>64</v>
      </c>
      <c r="E54" s="31">
        <v>1.8574E-2</v>
      </c>
    </row>
    <row r="55" spans="4:5" ht="16.5" x14ac:dyDescent="0.3">
      <c r="D55" s="32">
        <v>65</v>
      </c>
      <c r="E55" s="31">
        <v>1.9980000000000001E-2</v>
      </c>
    </row>
    <row r="56" spans="4:5" ht="16.5" x14ac:dyDescent="0.3">
      <c r="D56" s="32">
        <v>66</v>
      </c>
      <c r="E56" s="31">
        <v>2.1489999999999999E-2</v>
      </c>
    </row>
    <row r="57" spans="4:5" ht="16.5" x14ac:dyDescent="0.3">
      <c r="D57" s="32">
        <v>67</v>
      </c>
      <c r="E57" s="31">
        <v>2.3111E-2</v>
      </c>
    </row>
    <row r="58" spans="4:5" ht="16.5" x14ac:dyDescent="0.3">
      <c r="D58" s="32">
        <v>68</v>
      </c>
      <c r="E58" s="31">
        <v>2.4851000000000002E-2</v>
      </c>
    </row>
    <row r="59" spans="4:5" ht="16.5" x14ac:dyDescent="0.3">
      <c r="D59" s="32">
        <v>69</v>
      </c>
      <c r="E59" s="31">
        <v>2.6720000000000001E-2</v>
      </c>
    </row>
    <row r="60" spans="4:5" ht="16.5" x14ac:dyDescent="0.3">
      <c r="D60" s="32">
        <v>70</v>
      </c>
      <c r="E60" s="31">
        <v>2.8724E-2</v>
      </c>
    </row>
    <row r="61" spans="4:5" ht="16.5" x14ac:dyDescent="0.3">
      <c r="D61" s="32">
        <v>71</v>
      </c>
      <c r="E61" s="31">
        <v>3.0873999999999999E-2</v>
      </c>
    </row>
    <row r="62" spans="4:5" ht="16.5" x14ac:dyDescent="0.3">
      <c r="D62" s="32">
        <v>72</v>
      </c>
      <c r="E62" s="31">
        <v>3.3180000000000001E-2</v>
      </c>
    </row>
    <row r="63" spans="4:5" ht="16.5" x14ac:dyDescent="0.3">
      <c r="D63" s="32">
        <v>73</v>
      </c>
      <c r="E63" s="31">
        <v>3.5651000000000002E-2</v>
      </c>
    </row>
    <row r="64" spans="4:5" ht="16.5" x14ac:dyDescent="0.3">
      <c r="D64" s="32">
        <v>74</v>
      </c>
      <c r="E64" s="31">
        <v>3.8300000000000001E-2</v>
      </c>
    </row>
    <row r="65" spans="4:5" ht="16.5" x14ac:dyDescent="0.3">
      <c r="D65" s="32">
        <v>75</v>
      </c>
      <c r="E65" s="31">
        <v>4.1135999999999999E-2</v>
      </c>
    </row>
    <row r="66" spans="4:5" ht="16.5" x14ac:dyDescent="0.3">
      <c r="D66" s="32">
        <v>76</v>
      </c>
      <c r="E66" s="31">
        <v>4.4173999999999998E-2</v>
      </c>
    </row>
    <row r="67" spans="4:5" ht="16.5" x14ac:dyDescent="0.3">
      <c r="D67" s="32">
        <v>77</v>
      </c>
      <c r="E67" s="31">
        <v>4.7424000000000001E-2</v>
      </c>
    </row>
    <row r="68" spans="4:5" ht="16.5" x14ac:dyDescent="0.3">
      <c r="D68" s="32">
        <v>78</v>
      </c>
      <c r="E68" s="31">
        <v>5.0902000000000003E-2</v>
      </c>
    </row>
    <row r="69" spans="4:5" ht="16.5" x14ac:dyDescent="0.3">
      <c r="D69" s="32">
        <v>79</v>
      </c>
      <c r="E69" s="31">
        <v>5.4619000000000001E-2</v>
      </c>
    </row>
    <row r="70" spans="4:5" ht="16.5" x14ac:dyDescent="0.3">
      <c r="D70" s="32">
        <v>80</v>
      </c>
      <c r="E70" s="31">
        <v>5.8591999999999998E-2</v>
      </c>
    </row>
    <row r="71" spans="4:5" ht="16.5" x14ac:dyDescent="0.3">
      <c r="D71" s="32">
        <v>81</v>
      </c>
      <c r="E71" s="31">
        <v>6.2834000000000001E-2</v>
      </c>
    </row>
    <row r="72" spans="4:5" ht="16.5" x14ac:dyDescent="0.3">
      <c r="D72" s="32">
        <v>82</v>
      </c>
      <c r="E72" s="31">
        <v>6.7362000000000005E-2</v>
      </c>
    </row>
    <row r="73" spans="4:5" ht="16.5" x14ac:dyDescent="0.3">
      <c r="D73" s="32">
        <v>83</v>
      </c>
      <c r="E73" s="31">
        <v>7.2190000000000004E-2</v>
      </c>
    </row>
    <row r="74" spans="4:5" ht="16.5" x14ac:dyDescent="0.3">
      <c r="D74" s="32">
        <v>84</v>
      </c>
      <c r="E74" s="31">
        <v>7.7337000000000003E-2</v>
      </c>
    </row>
    <row r="75" spans="4:5" ht="16.5" x14ac:dyDescent="0.3">
      <c r="D75" s="32">
        <v>85</v>
      </c>
      <c r="E75" s="31">
        <v>8.2817000000000002E-2</v>
      </c>
    </row>
    <row r="76" spans="4:5" ht="16.5" x14ac:dyDescent="0.3">
      <c r="D76" s="32">
        <v>86</v>
      </c>
      <c r="E76" s="31">
        <v>8.8649000000000006E-2</v>
      </c>
    </row>
    <row r="77" spans="4:5" ht="16.5" x14ac:dyDescent="0.3">
      <c r="D77" s="32">
        <v>87</v>
      </c>
      <c r="E77" s="31">
        <v>9.4850000000000004E-2</v>
      </c>
    </row>
    <row r="78" spans="4:5" ht="16.5" x14ac:dyDescent="0.3">
      <c r="D78" s="32">
        <v>88</v>
      </c>
      <c r="E78" s="31">
        <v>0.101436</v>
      </c>
    </row>
    <row r="79" spans="4:5" ht="16.5" x14ac:dyDescent="0.3">
      <c r="D79" s="32">
        <v>89</v>
      </c>
      <c r="E79" s="31">
        <v>0.10842400000000001</v>
      </c>
    </row>
    <row r="80" spans="4:5" ht="16.5" x14ac:dyDescent="0.3">
      <c r="D80" s="32">
        <v>90</v>
      </c>
      <c r="E80" s="31">
        <v>0.115832</v>
      </c>
    </row>
    <row r="81" spans="4:5" ht="16.5" x14ac:dyDescent="0.3">
      <c r="D81" s="32">
        <v>91</v>
      </c>
      <c r="E81" s="31">
        <v>0.123677</v>
      </c>
    </row>
    <row r="82" spans="4:5" ht="16.5" x14ac:dyDescent="0.3">
      <c r="D82" s="32">
        <v>92</v>
      </c>
      <c r="E82" s="31">
        <v>0.13197300000000001</v>
      </c>
    </row>
    <row r="83" spans="4:5" ht="16.5" x14ac:dyDescent="0.3">
      <c r="D83" s="32">
        <v>93</v>
      </c>
      <c r="E83" s="31">
        <v>0.140737</v>
      </c>
    </row>
    <row r="84" spans="4:5" ht="16.5" x14ac:dyDescent="0.3">
      <c r="D84" s="32">
        <v>94</v>
      </c>
      <c r="E84" s="31">
        <v>0.14998300000000001</v>
      </c>
    </row>
    <row r="85" spans="4:5" ht="16.5" x14ac:dyDescent="0.3">
      <c r="D85" s="32">
        <v>95</v>
      </c>
      <c r="E85" s="31">
        <v>0.159723</v>
      </c>
    </row>
    <row r="86" spans="4:5" ht="16.5" x14ac:dyDescent="0.3">
      <c r="D86" s="32">
        <v>96</v>
      </c>
      <c r="E86" s="31">
        <v>0.16997000000000001</v>
      </c>
    </row>
    <row r="87" spans="4:5" ht="16.5" x14ac:dyDescent="0.3">
      <c r="D87" s="32">
        <v>97</v>
      </c>
      <c r="E87" s="31">
        <v>0.180733</v>
      </c>
    </row>
    <row r="88" spans="4:5" ht="16.5" x14ac:dyDescent="0.3">
      <c r="D88" s="32">
        <v>98</v>
      </c>
      <c r="E88" s="31">
        <v>0.19202</v>
      </c>
    </row>
    <row r="89" spans="4:5" ht="16.5" x14ac:dyDescent="0.3">
      <c r="D89" s="32">
        <v>99</v>
      </c>
      <c r="E89" s="31">
        <v>0.20383699999999999</v>
      </c>
    </row>
    <row r="90" spans="4:5" ht="16.5" x14ac:dyDescent="0.3">
      <c r="D90" s="32">
        <v>100</v>
      </c>
      <c r="E90" s="3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P34"/>
  <sheetViews>
    <sheetView zoomScale="80" zoomScaleNormal="80" workbookViewId="0">
      <selection activeCell="C14" sqref="C14"/>
    </sheetView>
  </sheetViews>
  <sheetFormatPr defaultColWidth="11.42578125" defaultRowHeight="15" x14ac:dyDescent="0.25"/>
  <cols>
    <col min="2" max="2" width="26.5703125" bestFit="1" customWidth="1"/>
    <col min="3" max="3" width="16.7109375" bestFit="1" customWidth="1"/>
    <col min="5" max="5" width="9.42578125" bestFit="1" customWidth="1"/>
    <col min="6" max="6" width="17.140625" customWidth="1"/>
    <col min="7" max="7" width="14.7109375" customWidth="1"/>
    <col min="8" max="8" width="13.42578125" customWidth="1"/>
    <col min="9" max="9" width="15.140625" customWidth="1"/>
    <col min="10" max="10" width="16.85546875" customWidth="1"/>
    <col min="14" max="14" width="19.5703125" bestFit="1" customWidth="1"/>
    <col min="15" max="15" width="13.7109375" bestFit="1" customWidth="1"/>
  </cols>
  <sheetData>
    <row r="1" spans="1:16" x14ac:dyDescent="0.25">
      <c r="A1" t="s">
        <v>35</v>
      </c>
    </row>
    <row r="2" spans="1:16" ht="16.5" customHeight="1" x14ac:dyDescent="0.3">
      <c r="B2" s="4" t="s">
        <v>0</v>
      </c>
      <c r="C2" s="22">
        <v>38</v>
      </c>
      <c r="D2" s="5"/>
      <c r="E2" s="48" t="s">
        <v>25</v>
      </c>
      <c r="F2" s="48" t="s">
        <v>20</v>
      </c>
      <c r="G2" s="48" t="s">
        <v>28</v>
      </c>
      <c r="H2" s="48" t="s">
        <v>26</v>
      </c>
      <c r="I2" s="48" t="s">
        <v>27</v>
      </c>
      <c r="J2" s="48" t="s">
        <v>29</v>
      </c>
      <c r="K2" s="55"/>
      <c r="L2" s="72" t="s">
        <v>22</v>
      </c>
      <c r="M2" s="72"/>
      <c r="N2" s="72"/>
      <c r="O2" s="72"/>
    </row>
    <row r="3" spans="1:16" ht="16.5" customHeight="1" x14ac:dyDescent="0.3">
      <c r="B3" s="6" t="s">
        <v>2</v>
      </c>
      <c r="C3" s="7" t="s">
        <v>37</v>
      </c>
      <c r="D3" s="5"/>
      <c r="E3" s="2">
        <v>0</v>
      </c>
      <c r="F3" s="3">
        <v>0</v>
      </c>
      <c r="G3" s="3">
        <v>0</v>
      </c>
      <c r="H3" s="3">
        <v>0</v>
      </c>
      <c r="I3" s="3">
        <v>0</v>
      </c>
      <c r="J3" s="46">
        <f>C17</f>
        <v>5824</v>
      </c>
      <c r="K3" s="55"/>
      <c r="L3" s="72"/>
      <c r="M3" s="72"/>
      <c r="N3" s="72"/>
      <c r="O3" s="72"/>
    </row>
    <row r="4" spans="1:16" ht="16.5" x14ac:dyDescent="0.3">
      <c r="B4" s="6" t="s">
        <v>3</v>
      </c>
      <c r="C4" s="23" t="s">
        <v>24</v>
      </c>
      <c r="D4" s="5"/>
      <c r="E4" s="2">
        <f t="shared" ref="E4:E15" si="0">IF(E3&lt;$C$20,E3+1,"")</f>
        <v>1</v>
      </c>
      <c r="F4" s="46">
        <f>IF(E4&lt;=$C$20,$C$25*1.16,"")</f>
        <v>1838.6247773116409</v>
      </c>
      <c r="G4" s="47">
        <f t="shared" ref="G4:G15" si="1">IF(E4&lt;=$C$20,(F4/1.16)*0.16,"")</f>
        <v>253.60341756022635</v>
      </c>
      <c r="H4" s="47">
        <f t="shared" ref="H4:H15" si="2">IF(E4&lt;=$C$20,J3*$C$22,"")</f>
        <v>202.95911999999998</v>
      </c>
      <c r="I4" s="47">
        <f t="shared" ref="I4:I15" si="3">IF(E4&lt;=$C$20,F4-G4-H4,"")</f>
        <v>1382.0622397514146</v>
      </c>
      <c r="J4" s="47">
        <f t="shared" ref="J4:J15" si="4">IF(E4&lt;=$C$20,J3-I4,"")</f>
        <v>4441.9377602485856</v>
      </c>
      <c r="N4" s="53"/>
      <c r="O4" s="53"/>
    </row>
    <row r="5" spans="1:16" ht="16.5" x14ac:dyDescent="0.3">
      <c r="B5" s="10" t="s">
        <v>5</v>
      </c>
      <c r="C5" s="11">
        <v>1600000</v>
      </c>
      <c r="D5" s="5"/>
      <c r="E5" s="2">
        <f t="shared" si="0"/>
        <v>2</v>
      </c>
      <c r="F5" s="46">
        <f t="shared" ref="F5:F15" si="5">IF(E5&lt;=$C$20,$C$25*1.16,"")</f>
        <v>1838.6247773116409</v>
      </c>
      <c r="G5" s="47">
        <f t="shared" si="1"/>
        <v>253.60341756022635</v>
      </c>
      <c r="H5" s="47">
        <f t="shared" si="2"/>
        <v>154.79597852246289</v>
      </c>
      <c r="I5" s="47">
        <f t="shared" si="3"/>
        <v>1430.2253812289516</v>
      </c>
      <c r="J5" s="47">
        <f t="shared" si="4"/>
        <v>3011.7123790196338</v>
      </c>
      <c r="N5" s="53"/>
      <c r="O5" s="53"/>
    </row>
    <row r="6" spans="1:16" ht="16.5" x14ac:dyDescent="0.3">
      <c r="B6" s="5"/>
      <c r="C6" s="5"/>
      <c r="D6" s="5"/>
      <c r="E6" s="2">
        <f t="shared" si="0"/>
        <v>3</v>
      </c>
      <c r="F6" s="46">
        <f t="shared" si="5"/>
        <v>1838.6247773116409</v>
      </c>
      <c r="G6" s="47">
        <f t="shared" si="1"/>
        <v>253.60341756022635</v>
      </c>
      <c r="H6" s="47">
        <f t="shared" si="2"/>
        <v>104.95441176836046</v>
      </c>
      <c r="I6" s="47">
        <f t="shared" si="3"/>
        <v>1480.0669479830542</v>
      </c>
      <c r="J6" s="47">
        <f t="shared" si="4"/>
        <v>1531.6454310365796</v>
      </c>
      <c r="N6" s="53"/>
      <c r="O6" s="53"/>
    </row>
    <row r="7" spans="1:16" ht="16.5" x14ac:dyDescent="0.3">
      <c r="B7" s="4" t="s">
        <v>8</v>
      </c>
      <c r="C7" s="24">
        <v>0.1</v>
      </c>
      <c r="D7" s="5"/>
      <c r="E7" s="2">
        <f t="shared" si="0"/>
        <v>4</v>
      </c>
      <c r="F7" s="46">
        <f t="shared" si="5"/>
        <v>1838.6247773116409</v>
      </c>
      <c r="G7" s="47">
        <f t="shared" si="1"/>
        <v>253.60341756022635</v>
      </c>
      <c r="H7" s="47">
        <f t="shared" si="2"/>
        <v>53.375928714836</v>
      </c>
      <c r="I7" s="47">
        <f t="shared" si="3"/>
        <v>1531.6454310365787</v>
      </c>
      <c r="J7" s="47">
        <f t="shared" si="4"/>
        <v>9.0949470177292824E-13</v>
      </c>
      <c r="N7" s="53"/>
      <c r="O7" s="53"/>
    </row>
    <row r="8" spans="1:16" ht="16.5" x14ac:dyDescent="0.3">
      <c r="B8" s="6" t="s">
        <v>7</v>
      </c>
      <c r="C8" s="13">
        <v>0.1</v>
      </c>
      <c r="D8" s="5"/>
      <c r="E8" s="2" t="str">
        <f t="shared" si="0"/>
        <v/>
      </c>
      <c r="F8" s="46" t="str">
        <f t="shared" si="5"/>
        <v/>
      </c>
      <c r="G8" s="47" t="str">
        <f t="shared" si="1"/>
        <v/>
      </c>
      <c r="H8" s="47" t="str">
        <f t="shared" si="2"/>
        <v/>
      </c>
      <c r="I8" s="47" t="str">
        <f t="shared" si="3"/>
        <v/>
      </c>
      <c r="J8" s="47" t="str">
        <f t="shared" si="4"/>
        <v/>
      </c>
      <c r="N8" s="53"/>
      <c r="O8" s="53"/>
    </row>
    <row r="9" spans="1:16" ht="16.5" x14ac:dyDescent="0.3">
      <c r="B9" s="10" t="s">
        <v>9</v>
      </c>
      <c r="C9" s="25">
        <v>0.05</v>
      </c>
      <c r="D9" s="5"/>
      <c r="E9" s="2" t="str">
        <f t="shared" si="0"/>
        <v/>
      </c>
      <c r="F9" s="46" t="str">
        <f t="shared" si="5"/>
        <v/>
      </c>
      <c r="G9" s="47" t="str">
        <f t="shared" si="1"/>
        <v/>
      </c>
      <c r="H9" s="47" t="str">
        <f t="shared" si="2"/>
        <v/>
      </c>
      <c r="I9" s="47" t="str">
        <f t="shared" si="3"/>
        <v/>
      </c>
      <c r="J9" s="47" t="str">
        <f t="shared" si="4"/>
        <v/>
      </c>
      <c r="N9" s="54"/>
      <c r="O9" s="54"/>
    </row>
    <row r="10" spans="1:16" ht="16.5" x14ac:dyDescent="0.3">
      <c r="B10" s="5"/>
      <c r="C10" s="5"/>
      <c r="D10" s="5"/>
      <c r="E10" s="2" t="str">
        <f t="shared" si="0"/>
        <v/>
      </c>
      <c r="F10" s="46" t="str">
        <f t="shared" si="5"/>
        <v/>
      </c>
      <c r="G10" s="47" t="str">
        <f t="shared" si="1"/>
        <v/>
      </c>
      <c r="H10" s="47" t="str">
        <f t="shared" si="2"/>
        <v/>
      </c>
      <c r="I10" s="47" t="str">
        <f t="shared" si="3"/>
        <v/>
      </c>
      <c r="J10" s="47" t="str">
        <f t="shared" si="4"/>
        <v/>
      </c>
      <c r="N10" s="37"/>
      <c r="P10" s="38"/>
    </row>
    <row r="11" spans="1:16" ht="16.5" x14ac:dyDescent="0.3">
      <c r="B11" s="51" t="s">
        <v>12</v>
      </c>
      <c r="C11" s="52"/>
      <c r="D11" s="5"/>
      <c r="E11" s="2" t="str">
        <f t="shared" si="0"/>
        <v/>
      </c>
      <c r="F11" s="46" t="str">
        <f t="shared" si="5"/>
        <v/>
      </c>
      <c r="G11" s="47" t="str">
        <f t="shared" si="1"/>
        <v/>
      </c>
      <c r="H11" s="47" t="str">
        <f t="shared" si="2"/>
        <v/>
      </c>
      <c r="I11" s="47" t="str">
        <f t="shared" si="3"/>
        <v/>
      </c>
      <c r="J11" s="47" t="str">
        <f t="shared" si="4"/>
        <v/>
      </c>
      <c r="O11" s="36"/>
    </row>
    <row r="12" spans="1:16" ht="16.5" x14ac:dyDescent="0.3">
      <c r="B12" s="8" t="s">
        <v>13</v>
      </c>
      <c r="C12" s="26">
        <f>VLOOKUP($C$13,Qx!D1:E90,2,0)</f>
        <v>2.7299999999999998E-3</v>
      </c>
      <c r="D12" s="5"/>
      <c r="E12" s="2" t="str">
        <f t="shared" si="0"/>
        <v/>
      </c>
      <c r="F12" s="46" t="str">
        <f t="shared" si="5"/>
        <v/>
      </c>
      <c r="G12" s="47" t="str">
        <f t="shared" si="1"/>
        <v/>
      </c>
      <c r="H12" s="47" t="str">
        <f t="shared" si="2"/>
        <v/>
      </c>
      <c r="I12" s="47" t="str">
        <f t="shared" si="3"/>
        <v/>
      </c>
      <c r="J12" s="47" t="str">
        <f t="shared" si="4"/>
        <v/>
      </c>
      <c r="O12" s="36"/>
    </row>
    <row r="13" spans="1:16" ht="16.5" x14ac:dyDescent="0.3">
      <c r="B13" s="9" t="s">
        <v>4</v>
      </c>
      <c r="C13" s="7">
        <f>$C$2-IFERROR(IF($C$3="FEMENINO",2,0),"ERROR")+IFERROR(IF($C$4="SI",2,0),"ERROR")</f>
        <v>38</v>
      </c>
      <c r="D13" s="5"/>
      <c r="E13" s="2" t="str">
        <f t="shared" si="0"/>
        <v/>
      </c>
      <c r="F13" s="46" t="str">
        <f t="shared" si="5"/>
        <v/>
      </c>
      <c r="G13" s="47" t="str">
        <f t="shared" si="1"/>
        <v/>
      </c>
      <c r="H13" s="47" t="str">
        <f t="shared" si="2"/>
        <v/>
      </c>
      <c r="I13" s="47" t="str">
        <f t="shared" si="3"/>
        <v/>
      </c>
      <c r="J13" s="47" t="str">
        <f t="shared" si="4"/>
        <v/>
      </c>
      <c r="O13" s="36"/>
    </row>
    <row r="14" spans="1:16" ht="16.5" x14ac:dyDescent="0.3">
      <c r="B14" s="9" t="s">
        <v>6</v>
      </c>
      <c r="C14" s="27">
        <f>C5</f>
        <v>1600000</v>
      </c>
      <c r="D14" s="5"/>
      <c r="E14" s="2" t="str">
        <f t="shared" si="0"/>
        <v/>
      </c>
      <c r="F14" s="46" t="str">
        <f t="shared" si="5"/>
        <v/>
      </c>
      <c r="G14" s="47" t="str">
        <f t="shared" si="1"/>
        <v/>
      </c>
      <c r="H14" s="47" t="str">
        <f t="shared" si="2"/>
        <v/>
      </c>
      <c r="I14" s="47" t="str">
        <f t="shared" si="3"/>
        <v/>
      </c>
      <c r="J14" s="47" t="str">
        <f t="shared" si="4"/>
        <v/>
      </c>
      <c r="O14" s="36"/>
    </row>
    <row r="15" spans="1:16" ht="16.5" x14ac:dyDescent="0.3">
      <c r="B15" s="12" t="s">
        <v>11</v>
      </c>
      <c r="C15" s="11">
        <f>$C$14*$C$12</f>
        <v>4368</v>
      </c>
      <c r="D15" s="5"/>
      <c r="E15" s="2" t="str">
        <f t="shared" si="0"/>
        <v/>
      </c>
      <c r="F15" s="46" t="str">
        <f t="shared" si="5"/>
        <v/>
      </c>
      <c r="G15" s="47" t="str">
        <f t="shared" si="1"/>
        <v/>
      </c>
      <c r="H15" s="47" t="str">
        <f t="shared" si="2"/>
        <v/>
      </c>
      <c r="I15" s="47" t="str">
        <f t="shared" si="3"/>
        <v/>
      </c>
      <c r="J15" s="47" t="str">
        <f t="shared" si="4"/>
        <v/>
      </c>
    </row>
    <row r="16" spans="1:16" ht="16.5" x14ac:dyDescent="0.3">
      <c r="B16" s="74"/>
      <c r="C16" s="75"/>
      <c r="D16" s="5"/>
      <c r="H16" s="5"/>
      <c r="I16" s="5"/>
      <c r="J16" s="5"/>
      <c r="K16" s="5"/>
      <c r="L16" s="73" t="s">
        <v>23</v>
      </c>
      <c r="M16" s="73"/>
      <c r="N16" s="73"/>
      <c r="O16" s="73"/>
    </row>
    <row r="17" spans="1:14" ht="16.5" x14ac:dyDescent="0.3">
      <c r="B17" s="21" t="s">
        <v>10</v>
      </c>
      <c r="C17" s="14">
        <f>$C$15/(1-$C$7-$C$8-$C$9)</f>
        <v>5824</v>
      </c>
      <c r="N17" s="47"/>
    </row>
    <row r="18" spans="1:14" x14ac:dyDescent="0.25">
      <c r="J18" s="47"/>
    </row>
    <row r="19" spans="1:14" ht="16.5" x14ac:dyDescent="0.3">
      <c r="B19" s="40" t="s">
        <v>18</v>
      </c>
      <c r="C19" s="41" t="s">
        <v>38</v>
      </c>
      <c r="E19" s="39"/>
      <c r="F19" s="39"/>
    </row>
    <row r="20" spans="1:14" ht="16.5" x14ac:dyDescent="0.3">
      <c r="B20" s="42" t="s">
        <v>19</v>
      </c>
      <c r="C20" s="43">
        <f>IF(C19="ANUAL",1,IF(C19="SEMESTRAL",2,IF(C19="TRIMESTRAL",4,IF(C19="BIMESTRAL",6,12))))</f>
        <v>4</v>
      </c>
    </row>
    <row r="21" spans="1:14" ht="16.5" x14ac:dyDescent="0.3">
      <c r="B21" s="42" t="s">
        <v>21</v>
      </c>
      <c r="C21" s="44">
        <f>C20-1</f>
        <v>3</v>
      </c>
    </row>
    <row r="22" spans="1:14" ht="16.5" x14ac:dyDescent="0.3">
      <c r="B22" s="42" t="s">
        <v>33</v>
      </c>
      <c r="C22" s="49">
        <f>IF(C19="ANUAL",C23,IF(C19="SEMESTRAL",(C23+0.04)/2,IF(C19="TRIMESTRAL",(C23+0.05)/4,IF(C19="BIMESTRAL",(C23+0.06)/6,(C23+0.08)/12))))</f>
        <v>3.4848749999999998E-2</v>
      </c>
    </row>
    <row r="23" spans="1:14" ht="16.5" x14ac:dyDescent="0.3">
      <c r="B23" s="45" t="s">
        <v>34</v>
      </c>
      <c r="C23" s="50">
        <v>8.9395000000000002E-2</v>
      </c>
    </row>
    <row r="24" spans="1:14" ht="16.5" x14ac:dyDescent="0.3">
      <c r="B24" s="5"/>
      <c r="C24" s="5"/>
    </row>
    <row r="25" spans="1:14" ht="16.5" x14ac:dyDescent="0.3">
      <c r="B25" s="15" t="s">
        <v>20</v>
      </c>
      <c r="C25" s="28">
        <f>-PMT(C22,$C$20,$C$17)</f>
        <v>1585.0213597514146</v>
      </c>
      <c r="E25" s="37"/>
      <c r="G25" s="38"/>
    </row>
    <row r="26" spans="1:14" ht="16.5" x14ac:dyDescent="0.3">
      <c r="B26" s="9" t="s">
        <v>14</v>
      </c>
      <c r="C26" s="17">
        <f>(C25+500)*1.16</f>
        <v>2418.6247773116411</v>
      </c>
      <c r="F26" s="36"/>
    </row>
    <row r="27" spans="1:14" ht="16.5" x14ac:dyDescent="0.3">
      <c r="B27" s="9" t="s">
        <v>15</v>
      </c>
      <c r="C27" s="29">
        <f>IF(C20&gt;1,C25*1.16,0)</f>
        <v>1838.6247773116409</v>
      </c>
      <c r="F27" s="36"/>
    </row>
    <row r="28" spans="1:14" ht="16.5" x14ac:dyDescent="0.3">
      <c r="B28" s="18" t="s">
        <v>32</v>
      </c>
      <c r="C28" s="19">
        <f>C26+(C21)*C27</f>
        <v>7934.4991092465634</v>
      </c>
      <c r="F28" s="36"/>
    </row>
    <row r="29" spans="1:14" x14ac:dyDescent="0.25">
      <c r="B29" s="76"/>
      <c r="C29" s="77"/>
      <c r="F29" s="36"/>
    </row>
    <row r="30" spans="1:14" ht="16.5" x14ac:dyDescent="0.3">
      <c r="B30" s="16" t="s">
        <v>16</v>
      </c>
      <c r="C30" s="20">
        <f>(C17+500)*1.16</f>
        <v>7335.8399999999992</v>
      </c>
    </row>
    <row r="31" spans="1:14" ht="16.5" x14ac:dyDescent="0.3">
      <c r="B31" s="18" t="s">
        <v>17</v>
      </c>
      <c r="C31" s="30">
        <f>C28-C30</f>
        <v>598.65910924656419</v>
      </c>
    </row>
    <row r="32" spans="1:14" x14ac:dyDescent="0.25">
      <c r="A32" t="s">
        <v>35</v>
      </c>
    </row>
    <row r="34" spans="8:13" x14ac:dyDescent="0.25">
      <c r="H34" t="str">
        <f>IF(E15&lt;$C$20,E15+1,"")</f>
        <v/>
      </c>
      <c r="I34" s="46" t="str">
        <f>IF(H34&lt;=$C$20,$C$27,"")</f>
        <v/>
      </c>
      <c r="J34" s="47" t="str">
        <f>IF(H34&lt;=$C$20,(I34/1.16)*0.16,"")</f>
        <v/>
      </c>
      <c r="K34" s="47" t="str">
        <f>IF(H34&lt;=$C$20,J15*$C$22,"")</f>
        <v/>
      </c>
      <c r="L34" s="47" t="str">
        <f>IF(H34&lt;=$C$20,I34-J34-K34,"")</f>
        <v/>
      </c>
      <c r="M34" s="47" t="str">
        <f>IF(H34&lt;=$C$20,J15-L34,"")</f>
        <v/>
      </c>
    </row>
  </sheetData>
  <mergeCells count="4">
    <mergeCell ref="L2:O3"/>
    <mergeCell ref="L16:O16"/>
    <mergeCell ref="B16:C16"/>
    <mergeCell ref="B29:C29"/>
  </mergeCells>
  <dataValidations count="5">
    <dataValidation type="whole" allowBlank="1" showInputMessage="1" showErrorMessage="1" errorTitle="Edad registrada no valida" promptTitle="Edad del asegurado" prompt="Para que la persona sea asegurable debe tener entre 12 y 100 años de edad." sqref="C2" xr:uid="{00000000-0002-0000-0100-000000000000}">
      <formula1>12</formula1>
      <formula2>100</formula2>
    </dataValidation>
    <dataValidation type="decimal" operator="greaterThan" allowBlank="1" showInputMessage="1" showErrorMessage="1" sqref="C5" xr:uid="{00000000-0002-0000-0100-000001000000}">
      <formula1>0</formula1>
    </dataValidation>
    <dataValidation type="list" operator="equal" allowBlank="1" showInputMessage="1" showErrorMessage="1" promptTitle="Sexo del asegurado" prompt="Ingresar sexo MASCULINO o FEMENINO." sqref="C3" xr:uid="{00000000-0002-0000-0100-000002000000}">
      <formula1>"MASCULINO, FEMENINO"</formula1>
    </dataValidation>
    <dataValidation type="list" allowBlank="1" showInputMessage="1" showErrorMessage="1" promptTitle="Condicion de fumador del asegura" prompt="Ingresar SI o NO dependiendo de si el asegurado fuma o no." sqref="C4" xr:uid="{00000000-0002-0000-0100-000003000000}">
      <formula1>"SI, NO"</formula1>
    </dataValidation>
    <dataValidation type="list" allowBlank="1" showInputMessage="1" showErrorMessage="1" prompt="Ingresa la duracion de los periodos" sqref="C19" xr:uid="{00000000-0002-0000-0100-000004000000}">
      <formula1>"ANUAL, SEMESTRAL, TRIMESTRAL, BIMESTRAL, MENSUAL"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P34"/>
  <sheetViews>
    <sheetView tabSelected="1" zoomScale="80" zoomScaleNormal="80" workbookViewId="0">
      <selection activeCell="G23" sqref="G23"/>
    </sheetView>
  </sheetViews>
  <sheetFormatPr defaultColWidth="11.42578125" defaultRowHeight="15" x14ac:dyDescent="0.25"/>
  <cols>
    <col min="2" max="2" width="26.5703125" bestFit="1" customWidth="1"/>
    <col min="3" max="3" width="16.7109375" bestFit="1" customWidth="1"/>
    <col min="5" max="5" width="10.5703125" bestFit="1" customWidth="1"/>
    <col min="6" max="6" width="17.140625" customWidth="1"/>
    <col min="7" max="7" width="14.7109375" customWidth="1"/>
    <col min="8" max="8" width="13.42578125" customWidth="1"/>
    <col min="9" max="9" width="15.140625" customWidth="1"/>
    <col min="10" max="10" width="16.85546875" customWidth="1"/>
    <col min="14" max="14" width="19.5703125" bestFit="1" customWidth="1"/>
    <col min="15" max="15" width="13.7109375" bestFit="1" customWidth="1"/>
  </cols>
  <sheetData>
    <row r="1" spans="1:16" x14ac:dyDescent="0.25">
      <c r="A1" t="s">
        <v>35</v>
      </c>
      <c r="K1" t="s">
        <v>35</v>
      </c>
    </row>
    <row r="2" spans="1:16" ht="16.5" customHeight="1" x14ac:dyDescent="0.3">
      <c r="B2" s="4" t="s">
        <v>0</v>
      </c>
      <c r="C2" s="22">
        <v>50</v>
      </c>
      <c r="D2" s="5"/>
      <c r="E2" s="61" t="s">
        <v>25</v>
      </c>
      <c r="F2" s="62" t="s">
        <v>20</v>
      </c>
      <c r="G2" s="62" t="s">
        <v>28</v>
      </c>
      <c r="H2" s="62" t="s">
        <v>26</v>
      </c>
      <c r="I2" s="62" t="s">
        <v>27</v>
      </c>
      <c r="J2" s="63" t="s">
        <v>29</v>
      </c>
      <c r="K2" s="55"/>
      <c r="L2" s="72" t="s">
        <v>22</v>
      </c>
      <c r="M2" s="72"/>
      <c r="N2" s="72"/>
      <c r="O2" s="72"/>
    </row>
    <row r="3" spans="1:16" ht="16.5" customHeight="1" x14ac:dyDescent="0.3">
      <c r="B3" s="6" t="s">
        <v>2</v>
      </c>
      <c r="C3" s="7" t="s">
        <v>31</v>
      </c>
      <c r="D3" s="5"/>
      <c r="E3" s="57">
        <v>0</v>
      </c>
      <c r="F3" s="58">
        <v>0</v>
      </c>
      <c r="G3" s="58">
        <v>0</v>
      </c>
      <c r="H3" s="58">
        <v>0</v>
      </c>
      <c r="I3" s="58">
        <v>0</v>
      </c>
      <c r="J3" s="59">
        <v>10257.333333333334</v>
      </c>
      <c r="K3" s="55"/>
      <c r="L3" s="72"/>
      <c r="M3" s="72"/>
      <c r="N3" s="72"/>
      <c r="O3" s="72"/>
    </row>
    <row r="4" spans="1:16" ht="16.5" x14ac:dyDescent="0.3">
      <c r="B4" s="6" t="s">
        <v>3</v>
      </c>
      <c r="C4" s="23" t="s">
        <v>24</v>
      </c>
      <c r="D4" s="5"/>
      <c r="E4" s="57">
        <v>1</v>
      </c>
      <c r="F4" s="59">
        <v>3238.2189587587955</v>
      </c>
      <c r="G4" s="60">
        <v>446.6508908632822</v>
      </c>
      <c r="H4" s="60">
        <v>357.455243838375</v>
      </c>
      <c r="I4" s="78">
        <v>2434.11</v>
      </c>
      <c r="J4" s="78">
        <v>7823.22</v>
      </c>
      <c r="N4" s="53"/>
      <c r="O4" s="53"/>
    </row>
    <row r="5" spans="1:16" ht="16.5" x14ac:dyDescent="0.3">
      <c r="B5" s="10" t="s">
        <v>5</v>
      </c>
      <c r="C5" s="71">
        <v>1000000</v>
      </c>
      <c r="D5" s="5"/>
      <c r="E5" s="57">
        <v>2</v>
      </c>
      <c r="F5" s="59">
        <v>3238.2189587587955</v>
      </c>
      <c r="G5" s="60">
        <v>446.6508908632822</v>
      </c>
      <c r="H5" s="60">
        <v>272.62943797499997</v>
      </c>
      <c r="I5" s="78">
        <v>2518.94</v>
      </c>
      <c r="J5" s="78">
        <v>5304.28</v>
      </c>
      <c r="N5" s="53"/>
      <c r="O5" s="53"/>
    </row>
    <row r="6" spans="1:16" ht="16.5" x14ac:dyDescent="0.3">
      <c r="B6" s="5"/>
      <c r="C6" s="5"/>
      <c r="D6" s="5"/>
      <c r="E6" s="57">
        <v>3</v>
      </c>
      <c r="F6" s="59">
        <v>3238.2189587587955</v>
      </c>
      <c r="G6" s="60">
        <v>446.6508908632822</v>
      </c>
      <c r="H6" s="60">
        <v>184.84752764999999</v>
      </c>
      <c r="I6" s="78">
        <v>2606.7199999999998</v>
      </c>
      <c r="J6" s="78">
        <v>2697.56</v>
      </c>
      <c r="N6" s="53"/>
      <c r="O6" s="53"/>
    </row>
    <row r="7" spans="1:16" ht="16.5" x14ac:dyDescent="0.3">
      <c r="B7" s="4" t="s">
        <v>8</v>
      </c>
      <c r="C7" s="24">
        <v>0.1</v>
      </c>
      <c r="D7" s="5"/>
      <c r="E7" s="57">
        <v>4</v>
      </c>
      <c r="F7" s="59">
        <v>3238.2189587587955</v>
      </c>
      <c r="G7" s="60">
        <v>446.6508908632822</v>
      </c>
      <c r="H7" s="60">
        <v>94.00659404999999</v>
      </c>
      <c r="I7" s="78">
        <v>2697.56</v>
      </c>
      <c r="J7" s="78">
        <v>0</v>
      </c>
      <c r="N7" s="53"/>
      <c r="O7" s="53"/>
    </row>
    <row r="8" spans="1:16" ht="16.5" x14ac:dyDescent="0.3">
      <c r="B8" s="6" t="s">
        <v>7</v>
      </c>
      <c r="C8" s="13">
        <v>0.1</v>
      </c>
      <c r="D8" s="5"/>
      <c r="E8" s="57"/>
      <c r="F8" s="59"/>
      <c r="G8" s="60"/>
      <c r="H8" s="60"/>
      <c r="I8" s="78"/>
      <c r="J8" s="78"/>
      <c r="N8" s="53"/>
      <c r="O8" s="53"/>
    </row>
    <row r="9" spans="1:16" ht="16.5" x14ac:dyDescent="0.3">
      <c r="B9" s="10" t="s">
        <v>9</v>
      </c>
      <c r="C9" s="25">
        <v>0.05</v>
      </c>
      <c r="D9" s="5"/>
      <c r="E9" s="57"/>
      <c r="F9" s="59"/>
      <c r="G9" s="60"/>
      <c r="H9" s="60"/>
      <c r="I9" s="78"/>
      <c r="J9" s="78"/>
      <c r="N9" s="54"/>
      <c r="O9" s="54"/>
    </row>
    <row r="10" spans="1:16" ht="16.5" x14ac:dyDescent="0.3">
      <c r="B10" s="5"/>
      <c r="C10" s="5"/>
      <c r="D10" s="5"/>
      <c r="E10" s="57"/>
      <c r="F10" s="59"/>
      <c r="G10" s="60"/>
      <c r="H10" s="60"/>
      <c r="I10" s="78"/>
      <c r="J10" s="78"/>
      <c r="N10" s="37"/>
      <c r="P10" s="38"/>
    </row>
    <row r="11" spans="1:16" ht="16.5" x14ac:dyDescent="0.3">
      <c r="B11" s="51" t="s">
        <v>12</v>
      </c>
      <c r="C11" s="52"/>
      <c r="D11" s="5"/>
      <c r="E11" s="57"/>
      <c r="F11" s="59"/>
      <c r="G11" s="60"/>
      <c r="H11" s="60"/>
      <c r="I11" s="78"/>
      <c r="J11" s="78"/>
      <c r="O11" s="36"/>
    </row>
    <row r="12" spans="1:16" ht="16.5" x14ac:dyDescent="0.3">
      <c r="B12" s="8" t="s">
        <v>13</v>
      </c>
      <c r="C12" s="26">
        <v>7.6930000000000002E-3</v>
      </c>
      <c r="D12" s="5"/>
      <c r="E12" s="57"/>
      <c r="F12" s="59"/>
      <c r="G12" s="60"/>
      <c r="H12" s="60"/>
      <c r="I12" s="78"/>
      <c r="J12" s="78"/>
      <c r="O12" s="36"/>
    </row>
    <row r="13" spans="1:16" ht="16.5" x14ac:dyDescent="0.3">
      <c r="B13" s="9" t="s">
        <v>4</v>
      </c>
      <c r="C13" s="7">
        <v>52</v>
      </c>
      <c r="D13" s="5"/>
      <c r="E13" s="57"/>
      <c r="F13" s="59"/>
      <c r="G13" s="60"/>
      <c r="H13" s="60"/>
      <c r="I13" s="78"/>
      <c r="J13" s="78"/>
      <c r="O13" s="36"/>
    </row>
    <row r="14" spans="1:16" ht="16.5" x14ac:dyDescent="0.3">
      <c r="B14" s="9" t="s">
        <v>6</v>
      </c>
      <c r="C14" s="56">
        <v>1000000</v>
      </c>
      <c r="D14" s="5"/>
      <c r="E14" s="57"/>
      <c r="F14" s="59"/>
      <c r="G14" s="60"/>
      <c r="H14" s="60"/>
      <c r="I14" s="78"/>
      <c r="J14" s="78"/>
      <c r="O14" s="36"/>
    </row>
    <row r="15" spans="1:16" ht="16.5" x14ac:dyDescent="0.3">
      <c r="B15" s="12" t="s">
        <v>11</v>
      </c>
      <c r="C15" s="11">
        <v>7693</v>
      </c>
      <c r="D15" s="5"/>
      <c r="E15" s="57"/>
      <c r="F15" s="59"/>
      <c r="G15" s="60"/>
      <c r="H15" s="60"/>
      <c r="I15" s="78"/>
      <c r="J15" s="78"/>
    </row>
    <row r="16" spans="1:16" ht="16.5" x14ac:dyDescent="0.3">
      <c r="B16" s="74"/>
      <c r="C16" s="75"/>
      <c r="D16" s="5"/>
      <c r="H16" s="5"/>
      <c r="I16" s="5"/>
      <c r="J16" s="5"/>
      <c r="K16" s="5"/>
      <c r="L16" s="73" t="s">
        <v>23</v>
      </c>
      <c r="M16" s="73"/>
      <c r="N16" s="73"/>
      <c r="O16" s="73"/>
    </row>
    <row r="17" spans="1:14" ht="16.5" x14ac:dyDescent="0.3">
      <c r="B17" s="21" t="s">
        <v>10</v>
      </c>
      <c r="C17" s="14">
        <v>10257.333333333334</v>
      </c>
      <c r="N17" s="47"/>
    </row>
    <row r="18" spans="1:14" x14ac:dyDescent="0.25">
      <c r="J18" s="47"/>
    </row>
    <row r="19" spans="1:14" ht="16.5" x14ac:dyDescent="0.3">
      <c r="B19" s="40" t="s">
        <v>18</v>
      </c>
      <c r="C19" s="41" t="s">
        <v>38</v>
      </c>
      <c r="E19" s="39"/>
      <c r="F19" s="39"/>
    </row>
    <row r="20" spans="1:14" ht="16.5" x14ac:dyDescent="0.3">
      <c r="B20" s="42" t="s">
        <v>19</v>
      </c>
      <c r="C20" s="43">
        <v>4</v>
      </c>
    </row>
    <row r="21" spans="1:14" ht="16.5" x14ac:dyDescent="0.3">
      <c r="B21" s="42" t="s">
        <v>21</v>
      </c>
      <c r="C21" s="44">
        <v>3</v>
      </c>
    </row>
    <row r="22" spans="1:14" ht="16.5" x14ac:dyDescent="0.3">
      <c r="B22" s="42" t="s">
        <v>33</v>
      </c>
      <c r="C22" s="49">
        <v>3.4848749999999998E-2</v>
      </c>
    </row>
    <row r="23" spans="1:14" ht="16.5" x14ac:dyDescent="0.3">
      <c r="B23" s="45" t="s">
        <v>34</v>
      </c>
      <c r="C23" s="50">
        <v>8.9395000000000002E-2</v>
      </c>
    </row>
    <row r="24" spans="1:14" ht="16.5" x14ac:dyDescent="0.3">
      <c r="B24" s="5"/>
      <c r="C24" s="5"/>
    </row>
    <row r="25" spans="1:14" ht="16.5" x14ac:dyDescent="0.3">
      <c r="B25" s="15" t="s">
        <v>20</v>
      </c>
      <c r="C25" s="28">
        <v>2791.5680678955137</v>
      </c>
      <c r="E25" s="37"/>
      <c r="G25" s="38"/>
    </row>
    <row r="26" spans="1:14" ht="16.5" x14ac:dyDescent="0.3">
      <c r="B26" s="9" t="s">
        <v>14</v>
      </c>
      <c r="C26" s="17">
        <v>3818.2189587587955</v>
      </c>
      <c r="F26" s="36"/>
    </row>
    <row r="27" spans="1:14" ht="16.5" x14ac:dyDescent="0.3">
      <c r="B27" s="9" t="s">
        <v>15</v>
      </c>
      <c r="C27" s="29">
        <v>3238.2189587587955</v>
      </c>
      <c r="F27" s="36"/>
    </row>
    <row r="28" spans="1:14" ht="16.5" x14ac:dyDescent="0.3">
      <c r="B28" s="18" t="s">
        <v>32</v>
      </c>
      <c r="C28" s="19">
        <v>13532.875835035182</v>
      </c>
      <c r="F28" s="36"/>
    </row>
    <row r="29" spans="1:14" x14ac:dyDescent="0.25">
      <c r="B29" s="76"/>
      <c r="C29" s="77"/>
      <c r="F29" s="36"/>
    </row>
    <row r="30" spans="1:14" ht="16.5" x14ac:dyDescent="0.3">
      <c r="B30" s="16" t="s">
        <v>16</v>
      </c>
      <c r="C30" s="20">
        <v>12478.506666666666</v>
      </c>
    </row>
    <row r="31" spans="1:14" ht="16.5" x14ac:dyDescent="0.3">
      <c r="B31" s="18" t="s">
        <v>17</v>
      </c>
      <c r="C31" s="30">
        <v>1054.3691683685156</v>
      </c>
    </row>
    <row r="32" spans="1:14" x14ac:dyDescent="0.25">
      <c r="A32" t="s">
        <v>35</v>
      </c>
      <c r="K32" t="s">
        <v>35</v>
      </c>
    </row>
    <row r="34" spans="9:13" x14ac:dyDescent="0.25">
      <c r="I34" s="46"/>
      <c r="J34" s="47"/>
      <c r="K34" s="47"/>
      <c r="L34" s="47"/>
      <c r="M34" s="47"/>
    </row>
  </sheetData>
  <mergeCells count="4">
    <mergeCell ref="L2:O3"/>
    <mergeCell ref="B16:C16"/>
    <mergeCell ref="L16:O16"/>
    <mergeCell ref="B29:C29"/>
  </mergeCells>
  <dataValidations count="5">
    <dataValidation type="list" allowBlank="1" showInputMessage="1" showErrorMessage="1" prompt="Ingresa la duracion de los periodos" sqref="C19" xr:uid="{00000000-0002-0000-0200-000000000000}">
      <formula1>"ANUAL, SEMESTRAL, TRIMESTRAL, BIMESTRAL, MENSUAL"</formula1>
    </dataValidation>
    <dataValidation type="list" allowBlank="1" showInputMessage="1" showErrorMessage="1" promptTitle="Condicion de fumador del asegura" prompt="Ingresar SI o NO dependiendo de si el asegurado fuma o no." sqref="C4" xr:uid="{00000000-0002-0000-0200-000001000000}">
      <formula1>"SI, NO"</formula1>
    </dataValidation>
    <dataValidation type="list" operator="equal" allowBlank="1" showInputMessage="1" showErrorMessage="1" promptTitle="Sexo del asegurado" prompt="Ingresar sexo MASCULINO o FEMENINO." sqref="C3" xr:uid="{00000000-0002-0000-0200-000002000000}">
      <formula1>"MASCULINO, FEMENINO"</formula1>
    </dataValidation>
    <dataValidation type="decimal" operator="greaterThan" allowBlank="1" showInputMessage="1" showErrorMessage="1" sqref="C5" xr:uid="{00000000-0002-0000-0200-000003000000}">
      <formula1>0</formula1>
    </dataValidation>
    <dataValidation type="whole" allowBlank="1" showInputMessage="1" showErrorMessage="1" errorTitle="Edad registrada no valida" promptTitle="Edad del asegurado" prompt="Para que la persona sea asegurable debe tener entre 12 y 100 años de edad." sqref="C2" xr:uid="{00000000-0002-0000-0200-000004000000}">
      <formula1>12</formula1>
      <formula2>100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ETODO1_COTIZADOR_SEGURO">
                <anchor moveWithCells="1" sizeWithCells="1">
                  <from>
                    <xdr:col>11</xdr:col>
                    <xdr:colOff>742950</xdr:colOff>
                    <xdr:row>17</xdr:row>
                    <xdr:rowOff>171450</xdr:rowOff>
                  </from>
                  <to>
                    <xdr:col>14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L301"/>
  <sheetViews>
    <sheetView zoomScale="90" zoomScaleNormal="90" workbookViewId="0">
      <selection activeCell="L2" sqref="L2"/>
    </sheetView>
  </sheetViews>
  <sheetFormatPr defaultColWidth="10.85546875" defaultRowHeight="16.5" outlineLevelRow="1" x14ac:dyDescent="0.3"/>
  <cols>
    <col min="1" max="1" width="12.5703125" style="5" bestFit="1" customWidth="1"/>
    <col min="2" max="2" width="28.140625" style="5" bestFit="1" customWidth="1"/>
    <col min="3" max="3" width="10.140625" style="5" bestFit="1" customWidth="1"/>
    <col min="4" max="5" width="14.7109375" style="5" bestFit="1" customWidth="1"/>
    <col min="6" max="6" width="17.7109375" style="5" bestFit="1" customWidth="1"/>
    <col min="7" max="7" width="19.42578125" style="5" bestFit="1" customWidth="1"/>
    <col min="8" max="8" width="20.7109375" style="5" bestFit="1" customWidth="1"/>
    <col min="9" max="9" width="27.85546875" style="5" bestFit="1" customWidth="1"/>
    <col min="10" max="10" width="38.5703125" style="5" bestFit="1" customWidth="1"/>
    <col min="11" max="11" width="43.140625" style="5" bestFit="1" customWidth="1"/>
    <col min="12" max="12" width="17.7109375" style="5" bestFit="1" customWidth="1"/>
    <col min="13" max="16384" width="10.85546875" style="5"/>
  </cols>
  <sheetData>
    <row r="1" spans="1:12" ht="18.75" x14ac:dyDescent="0.3">
      <c r="A1" s="64" t="s">
        <v>39</v>
      </c>
      <c r="B1" s="65" t="s">
        <v>40</v>
      </c>
      <c r="C1" s="64" t="s">
        <v>41</v>
      </c>
      <c r="D1" s="64" t="s">
        <v>42</v>
      </c>
      <c r="E1" s="64" t="s">
        <v>43</v>
      </c>
      <c r="F1" s="64" t="s">
        <v>44</v>
      </c>
      <c r="G1" s="66" t="s">
        <v>45</v>
      </c>
      <c r="H1" s="66" t="s">
        <v>46</v>
      </c>
      <c r="I1" s="67" t="s">
        <v>47</v>
      </c>
      <c r="J1" s="67" t="s">
        <v>48</v>
      </c>
      <c r="K1" s="67" t="s">
        <v>49</v>
      </c>
      <c r="L1" s="67" t="s">
        <v>50</v>
      </c>
    </row>
    <row r="2" spans="1:12" ht="17.25" x14ac:dyDescent="0.3">
      <c r="A2" s="68">
        <v>1</v>
      </c>
      <c r="B2" s="69">
        <v>1600000</v>
      </c>
      <c r="C2" s="68">
        <v>38</v>
      </c>
      <c r="D2" s="68" t="s">
        <v>37</v>
      </c>
      <c r="E2" s="68" t="s">
        <v>24</v>
      </c>
      <c r="F2" s="68" t="s">
        <v>38</v>
      </c>
      <c r="G2" s="70">
        <v>4368</v>
      </c>
      <c r="H2" s="70">
        <v>5824</v>
      </c>
      <c r="I2" s="5">
        <v>2418.6247773116361</v>
      </c>
      <c r="J2" s="5">
        <v>1838.6247773116363</v>
      </c>
      <c r="K2" s="5">
        <v>3</v>
      </c>
      <c r="L2" s="5">
        <v>7335.8399999999992</v>
      </c>
    </row>
    <row r="3" spans="1:12" ht="17.25" x14ac:dyDescent="0.3">
      <c r="A3" s="68">
        <v>2</v>
      </c>
      <c r="B3" s="69">
        <v>5600000</v>
      </c>
      <c r="C3" s="68">
        <v>60</v>
      </c>
      <c r="D3" s="68" t="s">
        <v>37</v>
      </c>
      <c r="E3" s="68" t="s">
        <v>51</v>
      </c>
      <c r="F3" s="68" t="s">
        <v>52</v>
      </c>
      <c r="G3" s="70">
        <v>67015.199999999997</v>
      </c>
      <c r="H3" s="70">
        <v>89353.599999999991</v>
      </c>
      <c r="I3" s="5">
        <v>19391.341119676239</v>
      </c>
      <c r="J3" s="5">
        <v>18811.341119676239</v>
      </c>
      <c r="K3" s="5">
        <v>5</v>
      </c>
      <c r="L3" s="5">
        <v>104230.17599999998</v>
      </c>
    </row>
    <row r="4" spans="1:12" ht="17.25" x14ac:dyDescent="0.3">
      <c r="A4" s="68">
        <v>3</v>
      </c>
      <c r="B4" s="69">
        <v>1500000</v>
      </c>
      <c r="C4" s="68">
        <v>37</v>
      </c>
      <c r="D4" s="68" t="s">
        <v>31</v>
      </c>
      <c r="E4" s="68" t="s">
        <v>24</v>
      </c>
      <c r="F4" s="68" t="s">
        <v>30</v>
      </c>
      <c r="G4" s="70">
        <v>4410</v>
      </c>
      <c r="H4" s="70">
        <v>5880</v>
      </c>
      <c r="I4" s="5">
        <v>4324.8234873078591</v>
      </c>
      <c r="J4" s="5">
        <v>3744.8234873078591</v>
      </c>
      <c r="K4" s="5">
        <v>1</v>
      </c>
      <c r="L4" s="5">
        <v>7400.7999999999993</v>
      </c>
    </row>
    <row r="5" spans="1:12" ht="17.25" x14ac:dyDescent="0.3">
      <c r="A5" s="68">
        <v>4</v>
      </c>
      <c r="B5" s="69">
        <v>4400000</v>
      </c>
      <c r="C5" s="68">
        <v>42</v>
      </c>
      <c r="D5" s="68" t="s">
        <v>37</v>
      </c>
      <c r="E5" s="68" t="s">
        <v>24</v>
      </c>
      <c r="F5" s="68" t="s">
        <v>53</v>
      </c>
      <c r="G5" s="70">
        <v>16156.8</v>
      </c>
      <c r="H5" s="70">
        <v>21542.399999999998</v>
      </c>
      <c r="I5" s="5">
        <v>27803.092103679948</v>
      </c>
      <c r="K5" s="5">
        <v>0</v>
      </c>
      <c r="L5" s="5">
        <v>25569.183999999997</v>
      </c>
    </row>
    <row r="6" spans="1:12" ht="17.25" x14ac:dyDescent="0.3">
      <c r="A6" s="68">
        <v>5</v>
      </c>
      <c r="B6" s="69">
        <v>9700000</v>
      </c>
      <c r="C6" s="68">
        <v>10</v>
      </c>
      <c r="D6" s="68" t="s">
        <v>37</v>
      </c>
      <c r="E6" s="68" t="s">
        <v>51</v>
      </c>
      <c r="F6" s="68" t="s">
        <v>36</v>
      </c>
      <c r="G6" s="70">
        <v>35618.400000000001</v>
      </c>
      <c r="H6" s="70">
        <v>47491.200000000004</v>
      </c>
      <c r="I6" s="5">
        <v>5602.8692545273889</v>
      </c>
      <c r="J6" s="5">
        <v>5022.8692545273889</v>
      </c>
      <c r="K6" s="5">
        <v>11</v>
      </c>
      <c r="L6" s="5">
        <v>55669.792000000001</v>
      </c>
    </row>
    <row r="7" spans="1:12" ht="17.25" outlineLevel="1" x14ac:dyDescent="0.3">
      <c r="A7" s="68">
        <v>6</v>
      </c>
      <c r="B7" s="69">
        <v>4300000</v>
      </c>
      <c r="C7" s="68">
        <v>69</v>
      </c>
      <c r="D7" s="68" t="s">
        <v>37</v>
      </c>
      <c r="E7" s="68" t="s">
        <v>24</v>
      </c>
      <c r="F7" s="68" t="s">
        <v>53</v>
      </c>
      <c r="G7" s="70">
        <v>114896</v>
      </c>
      <c r="H7" s="70">
        <v>153194.66666666666</v>
      </c>
      <c r="I7" s="5">
        <v>194171.82451626632</v>
      </c>
      <c r="K7" s="5">
        <v>0</v>
      </c>
      <c r="L7" s="5">
        <v>178285.8133333333</v>
      </c>
    </row>
    <row r="8" spans="1:12" ht="17.25" outlineLevel="1" x14ac:dyDescent="0.3">
      <c r="A8" s="68">
        <v>7</v>
      </c>
      <c r="B8" s="69">
        <v>5000000</v>
      </c>
      <c r="C8" s="68">
        <v>85</v>
      </c>
      <c r="D8" s="68" t="s">
        <v>31</v>
      </c>
      <c r="E8" s="68" t="s">
        <v>24</v>
      </c>
      <c r="F8" s="68" t="s">
        <v>36</v>
      </c>
      <c r="G8" s="70">
        <v>474250</v>
      </c>
      <c r="H8" s="70">
        <v>632333.33333333337</v>
      </c>
      <c r="I8" s="5">
        <v>67458.235517586814</v>
      </c>
      <c r="J8" s="5">
        <v>66878.235517586814</v>
      </c>
      <c r="K8" s="5">
        <v>11</v>
      </c>
      <c r="L8" s="5">
        <v>734086.66666666663</v>
      </c>
    </row>
    <row r="9" spans="1:12" ht="17.25" outlineLevel="1" x14ac:dyDescent="0.3">
      <c r="A9" s="68">
        <v>8</v>
      </c>
      <c r="B9" s="69">
        <v>6500000</v>
      </c>
      <c r="C9" s="68">
        <v>82</v>
      </c>
      <c r="D9" s="68" t="s">
        <v>37</v>
      </c>
      <c r="E9" s="68" t="s">
        <v>24</v>
      </c>
      <c r="F9" s="68" t="s">
        <v>52</v>
      </c>
      <c r="G9" s="70">
        <v>437853.00000000006</v>
      </c>
      <c r="H9" s="70">
        <v>583804.00000000012</v>
      </c>
      <c r="I9" s="5">
        <v>123486.47708689376</v>
      </c>
      <c r="J9" s="5">
        <v>122906.47708689376</v>
      </c>
      <c r="K9" s="5">
        <v>5</v>
      </c>
      <c r="L9" s="5">
        <v>677792.64000000013</v>
      </c>
    </row>
    <row r="10" spans="1:12" ht="17.25" outlineLevel="1" x14ac:dyDescent="0.3">
      <c r="A10" s="68">
        <v>9</v>
      </c>
      <c r="B10" s="69">
        <v>1200000</v>
      </c>
      <c r="C10" s="68">
        <v>45</v>
      </c>
      <c r="D10" s="68" t="s">
        <v>37</v>
      </c>
      <c r="E10" s="68" t="s">
        <v>24</v>
      </c>
      <c r="F10" s="68" t="s">
        <v>30</v>
      </c>
      <c r="G10" s="70">
        <v>5502</v>
      </c>
      <c r="H10" s="70">
        <v>7336</v>
      </c>
      <c r="I10" s="5">
        <v>5252.1131127364715</v>
      </c>
      <c r="J10" s="5">
        <v>4672.1131127364724</v>
      </c>
      <c r="K10" s="5">
        <v>1</v>
      </c>
      <c r="L10" s="5">
        <v>9089.76</v>
      </c>
    </row>
    <row r="11" spans="1:12" ht="17.25" outlineLevel="1" x14ac:dyDescent="0.3">
      <c r="A11" s="68">
        <v>10</v>
      </c>
      <c r="B11" s="69">
        <v>7200000</v>
      </c>
      <c r="C11" s="68">
        <v>10</v>
      </c>
      <c r="D11" s="68" t="s">
        <v>31</v>
      </c>
      <c r="E11" s="68" t="s">
        <v>51</v>
      </c>
      <c r="F11" s="68" t="s">
        <v>53</v>
      </c>
      <c r="G11" s="70">
        <v>33012</v>
      </c>
      <c r="H11" s="70">
        <v>44016</v>
      </c>
      <c r="I11" s="5">
        <v>56202.939971199899</v>
      </c>
      <c r="K11" s="5">
        <v>0</v>
      </c>
      <c r="L11" s="5">
        <v>51638.559999999998</v>
      </c>
    </row>
    <row r="12" spans="1:12" ht="17.25" outlineLevel="1" x14ac:dyDescent="0.3">
      <c r="A12" s="68">
        <v>11</v>
      </c>
      <c r="B12" s="69">
        <v>4800000</v>
      </c>
      <c r="C12" s="68">
        <v>13</v>
      </c>
      <c r="D12" s="68" t="s">
        <v>37</v>
      </c>
      <c r="E12" s="68" t="s">
        <v>24</v>
      </c>
      <c r="F12" s="68" t="s">
        <v>36</v>
      </c>
      <c r="G12" s="70">
        <v>2049.6</v>
      </c>
      <c r="H12" s="70">
        <v>2732.7999999999997</v>
      </c>
      <c r="I12" s="5">
        <v>869.03243335128286</v>
      </c>
      <c r="J12" s="5">
        <v>289.03243335128292</v>
      </c>
      <c r="K12" s="5">
        <v>11</v>
      </c>
      <c r="L12" s="5">
        <v>3750.0479999999993</v>
      </c>
    </row>
    <row r="13" spans="1:12" ht="17.25" outlineLevel="1" x14ac:dyDescent="0.3">
      <c r="A13" s="68">
        <v>12</v>
      </c>
      <c r="B13" s="69">
        <v>8200000</v>
      </c>
      <c r="C13" s="68">
        <v>103</v>
      </c>
      <c r="D13" s="68" t="s">
        <v>31</v>
      </c>
      <c r="E13" s="68" t="s">
        <v>51</v>
      </c>
      <c r="F13" s="68" t="s">
        <v>36</v>
      </c>
      <c r="G13" s="70">
        <v>3501.4</v>
      </c>
      <c r="H13" s="70">
        <v>4668.5333333333338</v>
      </c>
      <c r="I13" s="5">
        <v>1073.7637403084416</v>
      </c>
      <c r="J13" s="5">
        <v>493.7637403084417</v>
      </c>
      <c r="K13" s="5">
        <v>11</v>
      </c>
      <c r="L13" s="5">
        <v>5995.4986666666664</v>
      </c>
    </row>
    <row r="14" spans="1:12" ht="17.25" outlineLevel="1" x14ac:dyDescent="0.3">
      <c r="A14" s="68">
        <v>13</v>
      </c>
      <c r="B14" s="69">
        <v>5800000</v>
      </c>
      <c r="C14" s="68">
        <v>55</v>
      </c>
      <c r="D14" s="68" t="s">
        <v>37</v>
      </c>
      <c r="E14" s="68" t="s">
        <v>51</v>
      </c>
      <c r="F14" s="68" t="s">
        <v>30</v>
      </c>
      <c r="G14" s="70">
        <v>48035.6</v>
      </c>
      <c r="H14" s="70">
        <v>64047.466666666667</v>
      </c>
      <c r="I14" s="5">
        <v>41370.213856445676</v>
      </c>
      <c r="J14" s="5">
        <v>40790.213856445676</v>
      </c>
      <c r="K14" s="5">
        <v>1</v>
      </c>
      <c r="L14" s="5">
        <v>74875.061333333331</v>
      </c>
    </row>
    <row r="15" spans="1:12" ht="17.25" outlineLevel="1" x14ac:dyDescent="0.3">
      <c r="A15" s="68">
        <v>14</v>
      </c>
      <c r="B15" s="69">
        <v>7400000</v>
      </c>
      <c r="C15" s="68">
        <v>58</v>
      </c>
      <c r="D15" s="68" t="s">
        <v>37</v>
      </c>
      <c r="E15" s="68" t="s">
        <v>24</v>
      </c>
      <c r="F15" s="68" t="s">
        <v>53</v>
      </c>
      <c r="G15" s="70">
        <v>88555.8</v>
      </c>
      <c r="H15" s="70">
        <v>118074.40000000001</v>
      </c>
      <c r="I15" s="5">
        <v>149790.40674607977</v>
      </c>
      <c r="K15" s="5">
        <v>0</v>
      </c>
      <c r="L15" s="5">
        <v>137546.304</v>
      </c>
    </row>
    <row r="16" spans="1:12" ht="17.25" outlineLevel="1" x14ac:dyDescent="0.3">
      <c r="A16" s="68">
        <v>15</v>
      </c>
      <c r="B16" s="69">
        <v>2300000</v>
      </c>
      <c r="C16" s="68">
        <v>22</v>
      </c>
      <c r="D16" s="68" t="s">
        <v>31</v>
      </c>
      <c r="E16" s="68" t="s">
        <v>24</v>
      </c>
      <c r="F16" s="68" t="s">
        <v>52</v>
      </c>
      <c r="G16" s="70">
        <v>2221.7999999999997</v>
      </c>
      <c r="H16" s="70">
        <v>2962.3999999999996</v>
      </c>
      <c r="I16" s="5">
        <v>1203.6650446420613</v>
      </c>
      <c r="J16" s="5">
        <v>623.66504464206128</v>
      </c>
      <c r="K16" s="5">
        <v>5</v>
      </c>
      <c r="L16" s="5">
        <v>4016.3839999999991</v>
      </c>
    </row>
    <row r="17" spans="1:12" ht="17.25" outlineLevel="1" x14ac:dyDescent="0.3">
      <c r="A17" s="68">
        <v>16</v>
      </c>
      <c r="B17" s="69">
        <v>1800000</v>
      </c>
      <c r="C17" s="68">
        <v>98</v>
      </c>
      <c r="D17" s="68" t="s">
        <v>37</v>
      </c>
      <c r="E17" s="68" t="s">
        <v>24</v>
      </c>
      <c r="F17" s="68" t="s">
        <v>53</v>
      </c>
      <c r="G17" s="70">
        <v>345636</v>
      </c>
      <c r="H17" s="70">
        <v>460848</v>
      </c>
      <c r="I17" s="5">
        <v>582952.78807359887</v>
      </c>
      <c r="K17" s="5">
        <v>0</v>
      </c>
      <c r="L17" s="5">
        <v>535163.67999999993</v>
      </c>
    </row>
    <row r="18" spans="1:12" ht="17.25" outlineLevel="1" x14ac:dyDescent="0.3">
      <c r="A18" s="68">
        <v>17</v>
      </c>
      <c r="B18" s="69">
        <v>2200000</v>
      </c>
      <c r="C18" s="68">
        <v>87</v>
      </c>
      <c r="D18" s="68" t="s">
        <v>37</v>
      </c>
      <c r="E18" s="68" t="s">
        <v>24</v>
      </c>
      <c r="F18" s="68" t="s">
        <v>38</v>
      </c>
      <c r="G18" s="70">
        <v>208670</v>
      </c>
      <c r="H18" s="70">
        <v>278226.66666666669</v>
      </c>
      <c r="I18" s="5">
        <v>88415.584313557498</v>
      </c>
      <c r="J18" s="5">
        <v>87835.584313557498</v>
      </c>
      <c r="K18" s="5">
        <v>3</v>
      </c>
      <c r="L18" s="5">
        <v>323322.93333333335</v>
      </c>
    </row>
    <row r="19" spans="1:12" ht="17.25" outlineLevel="1" x14ac:dyDescent="0.3">
      <c r="A19" s="68">
        <v>18</v>
      </c>
      <c r="B19" s="69">
        <v>2200000</v>
      </c>
      <c r="C19" s="68">
        <v>34</v>
      </c>
      <c r="D19" s="68" t="s">
        <v>37</v>
      </c>
      <c r="E19" s="68" t="s">
        <v>51</v>
      </c>
      <c r="F19" s="68" t="s">
        <v>53</v>
      </c>
      <c r="G19" s="70">
        <v>3847.7999999999997</v>
      </c>
      <c r="H19" s="70">
        <v>5130.3999999999996</v>
      </c>
      <c r="I19" s="5">
        <v>7063.2772452799873</v>
      </c>
      <c r="K19" s="5">
        <v>0</v>
      </c>
      <c r="L19" s="5">
        <v>6531.2639999999992</v>
      </c>
    </row>
    <row r="20" spans="1:12" ht="17.25" outlineLevel="1" x14ac:dyDescent="0.3">
      <c r="A20" s="68">
        <v>19</v>
      </c>
      <c r="B20" s="69">
        <v>5700000</v>
      </c>
      <c r="C20" s="68">
        <v>38</v>
      </c>
      <c r="D20" s="68" t="s">
        <v>37</v>
      </c>
      <c r="E20" s="68" t="s">
        <v>51</v>
      </c>
      <c r="F20" s="68" t="s">
        <v>36</v>
      </c>
      <c r="G20" s="70">
        <v>13417.800000000001</v>
      </c>
      <c r="H20" s="70">
        <v>17890.400000000001</v>
      </c>
      <c r="I20" s="5">
        <v>2472.1640243075935</v>
      </c>
      <c r="J20" s="5">
        <v>1892.1640243075935</v>
      </c>
      <c r="K20" s="5">
        <v>11</v>
      </c>
      <c r="L20" s="5">
        <v>21332.864000000001</v>
      </c>
    </row>
    <row r="21" spans="1:12" ht="17.25" outlineLevel="1" x14ac:dyDescent="0.3">
      <c r="A21" s="68">
        <v>20</v>
      </c>
      <c r="B21" s="69">
        <v>4800000</v>
      </c>
      <c r="C21" s="68">
        <v>40</v>
      </c>
      <c r="D21" s="68" t="s">
        <v>31</v>
      </c>
      <c r="E21" s="68" t="s">
        <v>51</v>
      </c>
      <c r="F21" s="68" t="s">
        <v>38</v>
      </c>
      <c r="G21" s="70">
        <v>15196.8</v>
      </c>
      <c r="H21" s="70">
        <v>20262.399999999998</v>
      </c>
      <c r="I21" s="5">
        <v>6976.7978516138901</v>
      </c>
      <c r="J21" s="5">
        <v>6396.797851613891</v>
      </c>
      <c r="K21" s="5">
        <v>3</v>
      </c>
      <c r="L21" s="5">
        <v>24084.383999999995</v>
      </c>
    </row>
    <row r="22" spans="1:12" ht="17.25" outlineLevel="1" x14ac:dyDescent="0.3">
      <c r="A22" s="68">
        <v>21</v>
      </c>
      <c r="B22" s="69">
        <v>1000000</v>
      </c>
      <c r="C22" s="68">
        <v>62</v>
      </c>
      <c r="D22" s="68" t="s">
        <v>31</v>
      </c>
      <c r="E22" s="68" t="s">
        <v>51</v>
      </c>
      <c r="F22" s="68" t="s">
        <v>38</v>
      </c>
      <c r="G22" s="70">
        <v>16048</v>
      </c>
      <c r="H22" s="70">
        <v>21397.333333333332</v>
      </c>
      <c r="I22" s="5">
        <v>7335.093962064363</v>
      </c>
      <c r="J22" s="5">
        <v>6755.093962064363</v>
      </c>
      <c r="K22" s="5">
        <v>3</v>
      </c>
      <c r="L22" s="5">
        <v>25400.906666666662</v>
      </c>
    </row>
    <row r="23" spans="1:12" ht="17.25" outlineLevel="1" x14ac:dyDescent="0.3">
      <c r="A23" s="68">
        <v>22</v>
      </c>
      <c r="B23" s="69">
        <v>9500000</v>
      </c>
      <c r="C23" s="68">
        <v>81</v>
      </c>
      <c r="D23" s="68" t="s">
        <v>31</v>
      </c>
      <c r="E23" s="68" t="s">
        <v>51</v>
      </c>
      <c r="F23" s="68" t="s">
        <v>30</v>
      </c>
      <c r="G23" s="70">
        <v>596923</v>
      </c>
      <c r="H23" s="70">
        <v>795897.33333333337</v>
      </c>
      <c r="I23" s="5">
        <v>507466.90941366658</v>
      </c>
      <c r="J23" s="5">
        <v>506886.90941366658</v>
      </c>
      <c r="K23" s="5">
        <v>1</v>
      </c>
      <c r="L23" s="5">
        <v>923820.90666666662</v>
      </c>
    </row>
    <row r="24" spans="1:12" ht="17.25" outlineLevel="1" x14ac:dyDescent="0.3">
      <c r="A24" s="68">
        <v>23</v>
      </c>
      <c r="B24" s="69">
        <v>9300000</v>
      </c>
      <c r="C24" s="68">
        <v>17</v>
      </c>
      <c r="D24" s="68" t="s">
        <v>31</v>
      </c>
      <c r="E24" s="68" t="s">
        <v>51</v>
      </c>
      <c r="F24" s="68" t="s">
        <v>38</v>
      </c>
      <c r="G24" s="70">
        <v>5347.5</v>
      </c>
      <c r="H24" s="70">
        <v>7130</v>
      </c>
      <c r="I24" s="5">
        <v>2830.9262812898296</v>
      </c>
      <c r="J24" s="5">
        <v>2250.9262812898296</v>
      </c>
      <c r="K24" s="5">
        <v>3</v>
      </c>
      <c r="L24" s="5">
        <v>8850.7999999999993</v>
      </c>
    </row>
    <row r="25" spans="1:12" ht="17.25" outlineLevel="1" x14ac:dyDescent="0.3">
      <c r="A25" s="68">
        <v>24</v>
      </c>
      <c r="B25" s="69">
        <v>5000000</v>
      </c>
      <c r="C25" s="68">
        <v>72</v>
      </c>
      <c r="D25" s="68" t="s">
        <v>37</v>
      </c>
      <c r="E25" s="68" t="s">
        <v>51</v>
      </c>
      <c r="F25" s="68" t="s">
        <v>30</v>
      </c>
      <c r="G25" s="70">
        <v>143620</v>
      </c>
      <c r="H25" s="70">
        <v>191493.33333333334</v>
      </c>
      <c r="I25" s="5">
        <v>122537.26740298295</v>
      </c>
      <c r="J25" s="5">
        <v>121957.26740298295</v>
      </c>
      <c r="K25" s="5">
        <v>1</v>
      </c>
      <c r="L25" s="5">
        <v>222712.26666666666</v>
      </c>
    </row>
    <row r="26" spans="1:12" ht="17.25" outlineLevel="1" x14ac:dyDescent="0.3">
      <c r="A26" s="68">
        <v>25</v>
      </c>
      <c r="B26" s="69">
        <v>4200000</v>
      </c>
      <c r="C26" s="68">
        <v>101</v>
      </c>
      <c r="D26" s="68" t="s">
        <v>31</v>
      </c>
      <c r="E26" s="68" t="s">
        <v>24</v>
      </c>
      <c r="F26" s="68" t="s">
        <v>52</v>
      </c>
      <c r="G26" s="70">
        <v>120640.8</v>
      </c>
      <c r="H26" s="70">
        <v>160854.39999999999</v>
      </c>
      <c r="I26" s="5">
        <v>34444.186658409395</v>
      </c>
      <c r="J26" s="5">
        <v>33864.186658409395</v>
      </c>
      <c r="K26" s="5">
        <v>5</v>
      </c>
      <c r="L26" s="5">
        <v>187171.10399999999</v>
      </c>
    </row>
    <row r="27" spans="1:12" ht="17.25" outlineLevel="1" x14ac:dyDescent="0.3">
      <c r="A27" s="68">
        <v>26</v>
      </c>
      <c r="B27" s="69">
        <v>8000000</v>
      </c>
      <c r="C27" s="68">
        <v>62</v>
      </c>
      <c r="D27" s="68" t="s">
        <v>31</v>
      </c>
      <c r="E27" s="68" t="s">
        <v>51</v>
      </c>
      <c r="F27" s="68" t="s">
        <v>30</v>
      </c>
      <c r="G27" s="70">
        <v>128384</v>
      </c>
      <c r="H27" s="70">
        <v>171178.66666666666</v>
      </c>
      <c r="I27" s="5">
        <v>109599.36929581228</v>
      </c>
      <c r="J27" s="5">
        <v>109019.36929581228</v>
      </c>
      <c r="K27" s="5">
        <v>1</v>
      </c>
      <c r="L27" s="5">
        <v>199147.2533333333</v>
      </c>
    </row>
    <row r="28" spans="1:12" ht="17.25" outlineLevel="1" x14ac:dyDescent="0.3">
      <c r="A28" s="68">
        <v>27</v>
      </c>
      <c r="B28" s="69">
        <v>3900000</v>
      </c>
      <c r="C28" s="68">
        <v>50</v>
      </c>
      <c r="D28" s="68" t="s">
        <v>37</v>
      </c>
      <c r="E28" s="68" t="s">
        <v>24</v>
      </c>
      <c r="F28" s="68" t="s">
        <v>38</v>
      </c>
      <c r="G28" s="70">
        <v>25884.3</v>
      </c>
      <c r="H28" s="70">
        <v>34512.400000000001</v>
      </c>
      <c r="I28" s="5">
        <v>11475.493434836902</v>
      </c>
      <c r="J28" s="5">
        <v>10895.493434836902</v>
      </c>
      <c r="K28" s="5">
        <v>3</v>
      </c>
      <c r="L28" s="5">
        <v>40614.383999999998</v>
      </c>
    </row>
    <row r="29" spans="1:12" ht="17.25" outlineLevel="1" x14ac:dyDescent="0.3">
      <c r="A29" s="68">
        <v>28</v>
      </c>
      <c r="B29" s="69">
        <v>1900000</v>
      </c>
      <c r="C29" s="68">
        <v>98</v>
      </c>
      <c r="D29" s="68" t="s">
        <v>31</v>
      </c>
      <c r="E29" s="68" t="s">
        <v>24</v>
      </c>
      <c r="F29" s="68" t="s">
        <v>38</v>
      </c>
      <c r="G29" s="70">
        <v>1900000</v>
      </c>
      <c r="H29" s="70">
        <v>2533333.3333333335</v>
      </c>
      <c r="I29" s="5">
        <v>800348.10368409101</v>
      </c>
      <c r="J29" s="5">
        <v>799768.10368409101</v>
      </c>
      <c r="K29" s="5">
        <v>3</v>
      </c>
      <c r="L29" s="5">
        <v>2939246.6666666665</v>
      </c>
    </row>
    <row r="30" spans="1:12" ht="17.25" outlineLevel="1" x14ac:dyDescent="0.3">
      <c r="A30" s="68">
        <v>29</v>
      </c>
      <c r="B30" s="69">
        <v>6300000</v>
      </c>
      <c r="C30" s="68">
        <v>77</v>
      </c>
      <c r="D30" s="68" t="s">
        <v>31</v>
      </c>
      <c r="E30" s="68" t="s">
        <v>24</v>
      </c>
      <c r="F30" s="68" t="s">
        <v>38</v>
      </c>
      <c r="G30" s="70">
        <v>344099.7</v>
      </c>
      <c r="H30" s="70">
        <v>458799.60000000003</v>
      </c>
      <c r="I30" s="5">
        <v>145422.08660382347</v>
      </c>
      <c r="J30" s="5">
        <v>144842.08660382347</v>
      </c>
      <c r="K30" s="5">
        <v>3</v>
      </c>
      <c r="L30" s="5">
        <v>532787.53599999996</v>
      </c>
    </row>
    <row r="31" spans="1:12" ht="17.25" outlineLevel="1" x14ac:dyDescent="0.3">
      <c r="A31" s="68">
        <v>30</v>
      </c>
      <c r="B31" s="69">
        <v>4000000</v>
      </c>
      <c r="C31" s="68">
        <v>76</v>
      </c>
      <c r="D31" s="68" t="s">
        <v>37</v>
      </c>
      <c r="E31" s="68" t="s">
        <v>24</v>
      </c>
      <c r="F31" s="68" t="s">
        <v>52</v>
      </c>
      <c r="G31" s="70">
        <v>176696</v>
      </c>
      <c r="H31" s="70">
        <v>235594.66666666666</v>
      </c>
      <c r="I31" s="5">
        <v>50179.027242809287</v>
      </c>
      <c r="J31" s="5">
        <v>49599.027242809287</v>
      </c>
      <c r="K31" s="5">
        <v>5</v>
      </c>
      <c r="L31" s="5">
        <v>273869.8133333333</v>
      </c>
    </row>
    <row r="32" spans="1:12" ht="17.25" outlineLevel="1" x14ac:dyDescent="0.3">
      <c r="A32" s="68">
        <v>31</v>
      </c>
      <c r="B32" s="69">
        <v>1100000</v>
      </c>
      <c r="C32" s="68">
        <v>88</v>
      </c>
      <c r="D32" s="68" t="s">
        <v>37</v>
      </c>
      <c r="E32" s="68" t="s">
        <v>51</v>
      </c>
      <c r="F32" s="68" t="s">
        <v>52</v>
      </c>
      <c r="G32" s="70">
        <v>97513.900000000009</v>
      </c>
      <c r="H32" s="70">
        <v>130018.53333333334</v>
      </c>
      <c r="I32" s="5">
        <v>27952.405615591648</v>
      </c>
      <c r="J32" s="5">
        <v>27372.405615591648</v>
      </c>
      <c r="K32" s="5">
        <v>5</v>
      </c>
      <c r="L32" s="5">
        <v>151401.49866666665</v>
      </c>
    </row>
    <row r="33" spans="1:12" ht="17.25" outlineLevel="1" x14ac:dyDescent="0.3">
      <c r="A33" s="68">
        <v>32</v>
      </c>
      <c r="B33" s="69">
        <v>7200000</v>
      </c>
      <c r="C33" s="68">
        <v>50</v>
      </c>
      <c r="D33" s="68" t="s">
        <v>31</v>
      </c>
      <c r="E33" s="68" t="s">
        <v>24</v>
      </c>
      <c r="F33" s="68" t="s">
        <v>38</v>
      </c>
      <c r="G33" s="70">
        <v>55389.599999999999</v>
      </c>
      <c r="H33" s="70">
        <v>73852.800000000003</v>
      </c>
      <c r="I33" s="5">
        <v>23895.176503063329</v>
      </c>
      <c r="J33" s="5">
        <v>23315.176503063329</v>
      </c>
      <c r="K33" s="5">
        <v>3</v>
      </c>
      <c r="L33" s="5">
        <v>86249.247999999992</v>
      </c>
    </row>
    <row r="34" spans="1:12" ht="17.25" outlineLevel="1" x14ac:dyDescent="0.3">
      <c r="A34" s="68">
        <v>33</v>
      </c>
      <c r="B34" s="69">
        <v>6900000</v>
      </c>
      <c r="C34" s="68">
        <v>59</v>
      </c>
      <c r="D34" s="68" t="s">
        <v>37</v>
      </c>
      <c r="E34" s="68" t="s">
        <v>51</v>
      </c>
      <c r="F34" s="68" t="s">
        <v>30</v>
      </c>
      <c r="G34" s="70">
        <v>76721.100000000006</v>
      </c>
      <c r="H34" s="70">
        <v>102294.8</v>
      </c>
      <c r="I34" s="5">
        <v>65728.974433581636</v>
      </c>
      <c r="J34" s="5">
        <v>65148.974433581636</v>
      </c>
      <c r="K34" s="5">
        <v>1</v>
      </c>
      <c r="L34" s="5">
        <v>119241.96799999999</v>
      </c>
    </row>
    <row r="35" spans="1:12" ht="17.25" outlineLevel="1" x14ac:dyDescent="0.3">
      <c r="A35" s="68">
        <v>34</v>
      </c>
      <c r="B35" s="69">
        <v>9200000</v>
      </c>
      <c r="C35" s="68">
        <v>37</v>
      </c>
      <c r="D35" s="68" t="s">
        <v>31</v>
      </c>
      <c r="E35" s="68" t="s">
        <v>51</v>
      </c>
      <c r="F35" s="68" t="s">
        <v>52</v>
      </c>
      <c r="G35" s="70">
        <v>23322</v>
      </c>
      <c r="H35" s="70">
        <v>31096</v>
      </c>
      <c r="I35" s="5">
        <v>7126.5461207769185</v>
      </c>
      <c r="J35" s="5">
        <v>6546.5461207769185</v>
      </c>
      <c r="K35" s="5">
        <v>5</v>
      </c>
      <c r="L35" s="5">
        <v>36651.360000000001</v>
      </c>
    </row>
    <row r="36" spans="1:12" ht="17.25" outlineLevel="1" x14ac:dyDescent="0.3">
      <c r="A36" s="68">
        <v>35</v>
      </c>
      <c r="B36" s="69">
        <v>1700000</v>
      </c>
      <c r="C36" s="68">
        <v>58</v>
      </c>
      <c r="D36" s="68" t="s">
        <v>37</v>
      </c>
      <c r="E36" s="68" t="s">
        <v>24</v>
      </c>
      <c r="F36" s="68" t="s">
        <v>30</v>
      </c>
      <c r="G36" s="70">
        <v>20343.900000000001</v>
      </c>
      <c r="H36" s="70">
        <v>27125.200000000001</v>
      </c>
      <c r="I36" s="5">
        <v>17855.354771755639</v>
      </c>
      <c r="J36" s="5">
        <v>17275.354771755639</v>
      </c>
      <c r="K36" s="5">
        <v>1</v>
      </c>
      <c r="L36" s="5">
        <v>32045.232</v>
      </c>
    </row>
    <row r="37" spans="1:12" ht="17.25" outlineLevel="1" x14ac:dyDescent="0.3">
      <c r="A37" s="68">
        <v>36</v>
      </c>
      <c r="B37" s="69">
        <v>5700000</v>
      </c>
      <c r="C37" s="68">
        <v>13</v>
      </c>
      <c r="D37" s="68" t="s">
        <v>31</v>
      </c>
      <c r="E37" s="68" t="s">
        <v>24</v>
      </c>
      <c r="F37" s="68" t="s">
        <v>53</v>
      </c>
      <c r="G37" s="5">
        <v>2821.5</v>
      </c>
      <c r="H37" s="5">
        <v>3762</v>
      </c>
      <c r="I37" s="5">
        <v>5334.0326283999912</v>
      </c>
      <c r="K37" s="5">
        <v>0</v>
      </c>
      <c r="L37" s="5">
        <v>4943.92</v>
      </c>
    </row>
    <row r="38" spans="1:12" ht="17.25" outlineLevel="1" x14ac:dyDescent="0.3">
      <c r="A38" s="68">
        <v>37</v>
      </c>
      <c r="B38" s="69">
        <v>7400000</v>
      </c>
      <c r="C38" s="68">
        <v>29</v>
      </c>
      <c r="D38" s="68" t="s">
        <v>31</v>
      </c>
      <c r="E38" s="68" t="s">
        <v>24</v>
      </c>
      <c r="F38" s="68" t="s">
        <v>36</v>
      </c>
      <c r="G38" s="5">
        <v>12017.6</v>
      </c>
      <c r="H38" s="5">
        <v>16023.466666666667</v>
      </c>
      <c r="I38" s="5">
        <v>2274.7092950050633</v>
      </c>
      <c r="J38" s="5">
        <v>1694.7092950050633</v>
      </c>
      <c r="K38" s="5">
        <v>11</v>
      </c>
      <c r="L38" s="5">
        <v>19167.221333333331</v>
      </c>
    </row>
    <row r="39" spans="1:12" ht="17.25" outlineLevel="1" x14ac:dyDescent="0.3">
      <c r="A39" s="68">
        <v>38</v>
      </c>
      <c r="B39" s="69">
        <v>7200000</v>
      </c>
      <c r="C39" s="68">
        <v>71</v>
      </c>
      <c r="D39" s="68" t="s">
        <v>31</v>
      </c>
      <c r="E39" s="68" t="s">
        <v>24</v>
      </c>
      <c r="F39" s="68" t="s">
        <v>52</v>
      </c>
      <c r="G39" s="5">
        <v>256687.2</v>
      </c>
      <c r="H39" s="5">
        <v>342249.60000000003</v>
      </c>
      <c r="I39" s="5">
        <v>72632.765346586442</v>
      </c>
      <c r="J39" s="5">
        <v>72052.765346586442</v>
      </c>
      <c r="K39" s="5">
        <v>5</v>
      </c>
      <c r="L39" s="5">
        <v>397589.53600000002</v>
      </c>
    </row>
    <row r="40" spans="1:12" ht="17.25" outlineLevel="1" x14ac:dyDescent="0.3">
      <c r="A40" s="68">
        <v>39</v>
      </c>
      <c r="B40" s="69">
        <v>9600000</v>
      </c>
      <c r="C40" s="68">
        <v>90</v>
      </c>
      <c r="D40" s="68" t="s">
        <v>37</v>
      </c>
      <c r="E40" s="68" t="s">
        <v>24</v>
      </c>
      <c r="F40" s="68" t="s">
        <v>30</v>
      </c>
      <c r="G40" s="5">
        <v>1111987.2</v>
      </c>
      <c r="H40" s="5">
        <v>1482649.5999999999</v>
      </c>
      <c r="I40" s="5">
        <v>944842.08257272153</v>
      </c>
      <c r="J40" s="5">
        <v>944262.08257272153</v>
      </c>
      <c r="K40" s="5">
        <v>1</v>
      </c>
      <c r="L40" s="5">
        <v>1720453.5359999996</v>
      </c>
    </row>
    <row r="41" spans="1:12" ht="17.25" outlineLevel="1" x14ac:dyDescent="0.3">
      <c r="A41" s="68">
        <v>40</v>
      </c>
      <c r="B41" s="69">
        <v>8500000</v>
      </c>
      <c r="C41" s="68">
        <v>101</v>
      </c>
      <c r="D41" s="68" t="s">
        <v>37</v>
      </c>
      <c r="E41" s="68" t="s">
        <v>24</v>
      </c>
      <c r="F41" s="68" t="s">
        <v>53</v>
      </c>
      <c r="G41" s="5">
        <v>984572</v>
      </c>
      <c r="H41" s="5">
        <v>1312762.6666666667</v>
      </c>
      <c r="I41" s="5">
        <v>1659515.8188938638</v>
      </c>
      <c r="K41" s="5">
        <v>0</v>
      </c>
      <c r="L41" s="5">
        <v>1523384.6933333334</v>
      </c>
    </row>
    <row r="42" spans="1:12" ht="17.25" outlineLevel="1" x14ac:dyDescent="0.3">
      <c r="A42" s="68">
        <v>41</v>
      </c>
      <c r="B42" s="69">
        <v>9300000</v>
      </c>
      <c r="C42" s="68">
        <v>35</v>
      </c>
      <c r="D42" s="68" t="s">
        <v>37</v>
      </c>
      <c r="E42" s="68" t="s">
        <v>24</v>
      </c>
      <c r="F42" s="68" t="s">
        <v>30</v>
      </c>
      <c r="G42" s="5">
        <v>20329.8</v>
      </c>
      <c r="H42" s="5">
        <v>27106.399999999998</v>
      </c>
      <c r="I42" s="5">
        <v>17843.381526592133</v>
      </c>
      <c r="J42" s="5">
        <v>17263.381526592133</v>
      </c>
      <c r="K42" s="5">
        <v>1</v>
      </c>
      <c r="L42" s="5">
        <v>32023.423999999995</v>
      </c>
    </row>
    <row r="43" spans="1:12" ht="17.25" outlineLevel="1" x14ac:dyDescent="0.3">
      <c r="A43" s="68">
        <v>42</v>
      </c>
      <c r="B43" s="69">
        <v>1500000</v>
      </c>
      <c r="C43" s="68">
        <v>31</v>
      </c>
      <c r="D43" s="68" t="s">
        <v>37</v>
      </c>
      <c r="E43" s="68" t="s">
        <v>24</v>
      </c>
      <c r="F43" s="68" t="s">
        <v>52</v>
      </c>
      <c r="G43" s="5">
        <v>2436</v>
      </c>
      <c r="H43" s="5">
        <v>3248</v>
      </c>
      <c r="I43" s="5">
        <v>1263.7915423296704</v>
      </c>
      <c r="J43" s="5">
        <v>683.79154232967039</v>
      </c>
      <c r="K43" s="5">
        <v>5</v>
      </c>
      <c r="L43" s="5">
        <v>4347.6799999999994</v>
      </c>
    </row>
    <row r="44" spans="1:12" ht="17.25" outlineLevel="1" x14ac:dyDescent="0.3">
      <c r="A44" s="68">
        <v>43</v>
      </c>
      <c r="B44" s="69">
        <v>1000000</v>
      </c>
      <c r="C44" s="68">
        <v>50</v>
      </c>
      <c r="D44" s="68" t="s">
        <v>37</v>
      </c>
      <c r="E44" s="68" t="s">
        <v>24</v>
      </c>
      <c r="F44" s="68" t="s">
        <v>53</v>
      </c>
      <c r="G44" s="5">
        <v>6637</v>
      </c>
      <c r="H44" s="5">
        <v>8849.3333333333339</v>
      </c>
      <c r="I44" s="5">
        <v>11762.886604533314</v>
      </c>
      <c r="K44" s="5">
        <v>0</v>
      </c>
      <c r="L44" s="5">
        <v>10845.226666666667</v>
      </c>
    </row>
    <row r="45" spans="1:12" ht="17.25" outlineLevel="1" x14ac:dyDescent="0.3">
      <c r="A45" s="68">
        <v>44</v>
      </c>
      <c r="B45" s="69">
        <v>8500000</v>
      </c>
      <c r="C45" s="68">
        <v>64</v>
      </c>
      <c r="D45" s="68" t="s">
        <v>31</v>
      </c>
      <c r="E45" s="68" t="s">
        <v>24</v>
      </c>
      <c r="F45" s="68" t="s">
        <v>53</v>
      </c>
      <c r="G45" s="5">
        <v>182665</v>
      </c>
      <c r="H45" s="5">
        <v>243553.33333333334</v>
      </c>
      <c r="I45" s="5">
        <v>308357.90893733274</v>
      </c>
      <c r="K45" s="5">
        <v>0</v>
      </c>
      <c r="L45" s="5">
        <v>283101.86666666664</v>
      </c>
    </row>
    <row r="46" spans="1:12" ht="17.25" outlineLevel="1" x14ac:dyDescent="0.3">
      <c r="A46" s="68">
        <v>45</v>
      </c>
      <c r="B46" s="69">
        <v>1800000</v>
      </c>
      <c r="C46" s="68">
        <v>70</v>
      </c>
      <c r="D46" s="68" t="s">
        <v>31</v>
      </c>
      <c r="E46" s="68" t="s">
        <v>24</v>
      </c>
      <c r="F46" s="68" t="s">
        <v>36</v>
      </c>
      <c r="G46" s="5">
        <v>59724</v>
      </c>
      <c r="H46" s="5">
        <v>79632</v>
      </c>
      <c r="I46" s="5">
        <v>9002.2155783918915</v>
      </c>
      <c r="J46" s="5">
        <v>8422.2155783918915</v>
      </c>
      <c r="K46" s="5">
        <v>11</v>
      </c>
      <c r="L46" s="5">
        <v>92953.12</v>
      </c>
    </row>
    <row r="47" spans="1:12" ht="17.25" outlineLevel="1" x14ac:dyDescent="0.3">
      <c r="A47" s="68">
        <v>46</v>
      </c>
      <c r="B47" s="69">
        <v>5400000</v>
      </c>
      <c r="C47" s="68">
        <v>28</v>
      </c>
      <c r="D47" s="68" t="s">
        <v>31</v>
      </c>
      <c r="E47" s="68" t="s">
        <v>24</v>
      </c>
      <c r="F47" s="68" t="s">
        <v>52</v>
      </c>
      <c r="G47" s="5">
        <v>8143.2</v>
      </c>
      <c r="H47" s="5">
        <v>10857.6</v>
      </c>
      <c r="I47" s="5">
        <v>2865.8174415020408</v>
      </c>
      <c r="J47" s="5">
        <v>2285.8174415020408</v>
      </c>
      <c r="K47" s="5">
        <v>5</v>
      </c>
      <c r="L47" s="5">
        <v>13174.815999999999</v>
      </c>
    </row>
    <row r="48" spans="1:12" ht="17.25" outlineLevel="1" x14ac:dyDescent="0.3">
      <c r="A48" s="68">
        <v>47</v>
      </c>
      <c r="B48" s="69">
        <v>3500000</v>
      </c>
      <c r="C48" s="68">
        <v>56</v>
      </c>
      <c r="D48" s="68" t="s">
        <v>37</v>
      </c>
      <c r="E48" s="68" t="s">
        <v>24</v>
      </c>
      <c r="F48" s="68" t="s">
        <v>38</v>
      </c>
      <c r="G48" s="5">
        <v>36155</v>
      </c>
      <c r="H48" s="5">
        <v>48206.666666666664</v>
      </c>
      <c r="I48" s="5">
        <v>15798.745151946476</v>
      </c>
      <c r="J48" s="5">
        <v>15218.745151946476</v>
      </c>
      <c r="K48" s="5">
        <v>3</v>
      </c>
      <c r="L48" s="5">
        <v>56499.73333333333</v>
      </c>
    </row>
    <row r="49" spans="1:12" ht="17.25" outlineLevel="1" x14ac:dyDescent="0.3">
      <c r="A49" s="68">
        <v>48</v>
      </c>
      <c r="B49" s="69">
        <v>9300000</v>
      </c>
      <c r="C49" s="68">
        <v>13</v>
      </c>
      <c r="D49" s="68" t="s">
        <v>37</v>
      </c>
      <c r="E49" s="68" t="s">
        <v>24</v>
      </c>
      <c r="F49" s="68" t="s">
        <v>36</v>
      </c>
      <c r="G49" s="5">
        <v>3971.1000000000004</v>
      </c>
      <c r="H49" s="5">
        <v>5294.8</v>
      </c>
      <c r="I49" s="5">
        <v>1140.0003396181107</v>
      </c>
      <c r="J49" s="5">
        <v>560.00033961811073</v>
      </c>
      <c r="K49" s="5">
        <v>11</v>
      </c>
      <c r="L49" s="5">
        <v>6721.9679999999998</v>
      </c>
    </row>
    <row r="50" spans="1:12" ht="17.25" outlineLevel="1" x14ac:dyDescent="0.3">
      <c r="A50" s="68">
        <v>49</v>
      </c>
      <c r="B50" s="69">
        <v>3100000</v>
      </c>
      <c r="C50" s="68">
        <v>20</v>
      </c>
      <c r="D50" s="68" t="s">
        <v>37</v>
      </c>
      <c r="E50" s="68" t="s">
        <v>24</v>
      </c>
      <c r="F50" s="68" t="s">
        <v>53</v>
      </c>
      <c r="G50" s="5">
        <v>2225.8000000000002</v>
      </c>
      <c r="H50" s="5">
        <v>2967.7333333333336</v>
      </c>
      <c r="I50" s="5">
        <v>4330.3192714133265</v>
      </c>
      <c r="K50" s="5">
        <v>0</v>
      </c>
      <c r="L50" s="5">
        <v>4022.5706666666665</v>
      </c>
    </row>
    <row r="51" spans="1:12" ht="17.25" outlineLevel="1" x14ac:dyDescent="0.3">
      <c r="A51" s="68">
        <v>50</v>
      </c>
      <c r="B51" s="69">
        <v>8900000</v>
      </c>
      <c r="C51" s="68">
        <v>49</v>
      </c>
      <c r="D51" s="68" t="s">
        <v>37</v>
      </c>
      <c r="E51" s="68" t="s">
        <v>24</v>
      </c>
      <c r="F51" s="68" t="s">
        <v>52</v>
      </c>
      <c r="G51" s="5">
        <v>54859.6</v>
      </c>
      <c r="H51" s="5">
        <v>73146.133333333331</v>
      </c>
      <c r="I51" s="5">
        <v>15979.232551555331</v>
      </c>
      <c r="J51" s="5">
        <v>15399.232551555331</v>
      </c>
      <c r="K51" s="5">
        <v>5</v>
      </c>
      <c r="L51" s="5">
        <v>85429.514666666655</v>
      </c>
    </row>
    <row r="52" spans="1:12" ht="17.25" outlineLevel="1" x14ac:dyDescent="0.3">
      <c r="A52" s="68">
        <v>51</v>
      </c>
      <c r="B52" s="69">
        <v>5600000</v>
      </c>
      <c r="C52" s="68">
        <v>84</v>
      </c>
      <c r="D52" s="68" t="s">
        <v>37</v>
      </c>
      <c r="E52" s="68" t="s">
        <v>24</v>
      </c>
      <c r="F52" s="68" t="s">
        <v>30</v>
      </c>
      <c r="G52" s="5">
        <v>433087.2</v>
      </c>
      <c r="H52" s="5">
        <v>577449.6</v>
      </c>
      <c r="I52" s="5">
        <v>368343.06544498779</v>
      </c>
      <c r="J52" s="5">
        <v>367763.06544498779</v>
      </c>
      <c r="K52" s="5">
        <v>1</v>
      </c>
      <c r="L52" s="5">
        <v>670421.53599999996</v>
      </c>
    </row>
    <row r="53" spans="1:12" ht="17.25" outlineLevel="1" x14ac:dyDescent="0.3">
      <c r="A53" s="68">
        <v>52</v>
      </c>
      <c r="B53" s="69">
        <v>4200000</v>
      </c>
      <c r="C53" s="68">
        <v>11</v>
      </c>
      <c r="D53" s="68" t="s">
        <v>31</v>
      </c>
      <c r="E53" s="68" t="s">
        <v>24</v>
      </c>
      <c r="F53" s="68" t="s">
        <v>52</v>
      </c>
      <c r="G53" s="5">
        <v>1793.4</v>
      </c>
      <c r="H53" s="5">
        <v>2391.2000000000003</v>
      </c>
      <c r="I53" s="5">
        <v>1083.4120492668435</v>
      </c>
      <c r="J53" s="5">
        <v>503.41204926684361</v>
      </c>
      <c r="K53" s="5">
        <v>5</v>
      </c>
      <c r="L53" s="5">
        <v>3353.7919999999999</v>
      </c>
    </row>
    <row r="54" spans="1:12" ht="17.25" outlineLevel="1" x14ac:dyDescent="0.3">
      <c r="A54" s="68">
        <v>53</v>
      </c>
      <c r="B54" s="69">
        <v>9500000</v>
      </c>
      <c r="C54" s="68">
        <v>45</v>
      </c>
      <c r="D54" s="68" t="s">
        <v>37</v>
      </c>
      <c r="E54" s="68" t="s">
        <v>24</v>
      </c>
      <c r="F54" s="68" t="s">
        <v>53</v>
      </c>
      <c r="G54" s="5">
        <v>43557.5</v>
      </c>
      <c r="H54" s="5">
        <v>58076.666666666664</v>
      </c>
      <c r="I54" s="5">
        <v>73971.379128666522</v>
      </c>
      <c r="K54" s="5">
        <v>0</v>
      </c>
      <c r="L54" s="5">
        <v>67948.93333333332</v>
      </c>
    </row>
    <row r="55" spans="1:12" ht="17.25" outlineLevel="1" x14ac:dyDescent="0.3">
      <c r="A55" s="68">
        <v>54</v>
      </c>
      <c r="B55" s="69">
        <v>8600000</v>
      </c>
      <c r="C55" s="68">
        <v>98</v>
      </c>
      <c r="D55" s="68" t="s">
        <v>31</v>
      </c>
      <c r="E55" s="68" t="s">
        <v>24</v>
      </c>
      <c r="F55" s="68" t="s">
        <v>52</v>
      </c>
      <c r="G55" s="5">
        <v>8600000</v>
      </c>
      <c r="H55" s="5">
        <v>11466666.666666666</v>
      </c>
      <c r="I55" s="5">
        <v>2414622.3908190331</v>
      </c>
      <c r="J55" s="5">
        <v>2414042.3908190331</v>
      </c>
      <c r="K55" s="5">
        <v>5</v>
      </c>
      <c r="L55" s="5">
        <v>13301913.333333332</v>
      </c>
    </row>
    <row r="56" spans="1:12" ht="17.25" outlineLevel="1" x14ac:dyDescent="0.3">
      <c r="A56" s="68">
        <v>55</v>
      </c>
      <c r="B56" s="69">
        <v>7400000</v>
      </c>
      <c r="C56" s="68">
        <v>25</v>
      </c>
      <c r="D56" s="68" t="s">
        <v>31</v>
      </c>
      <c r="E56" s="68" t="s">
        <v>24</v>
      </c>
      <c r="F56" s="68" t="s">
        <v>36</v>
      </c>
      <c r="G56" s="5">
        <v>8931.7999999999993</v>
      </c>
      <c r="H56" s="5">
        <v>11909.066666666666</v>
      </c>
      <c r="I56" s="5">
        <v>1839.5530289846745</v>
      </c>
      <c r="J56" s="5">
        <v>1259.5530289846745</v>
      </c>
      <c r="K56" s="5">
        <v>11</v>
      </c>
      <c r="L56" s="5">
        <v>14394.517333333331</v>
      </c>
    </row>
    <row r="57" spans="1:12" ht="17.25" outlineLevel="1" x14ac:dyDescent="0.3">
      <c r="A57" s="68">
        <v>56</v>
      </c>
      <c r="B57" s="69">
        <v>5600000</v>
      </c>
      <c r="C57" s="68">
        <v>82</v>
      </c>
      <c r="D57" s="68" t="s">
        <v>31</v>
      </c>
      <c r="E57" s="68" t="s">
        <v>24</v>
      </c>
      <c r="F57" s="68" t="s">
        <v>38</v>
      </c>
      <c r="G57" s="5">
        <v>433087.2</v>
      </c>
      <c r="H57" s="5">
        <v>577449.6</v>
      </c>
      <c r="I57" s="5">
        <v>182879.64667044874</v>
      </c>
      <c r="J57" s="5">
        <v>182299.64667044874</v>
      </c>
      <c r="K57" s="5">
        <v>3</v>
      </c>
      <c r="L57" s="5">
        <v>670421.53599999996</v>
      </c>
    </row>
    <row r="58" spans="1:12" ht="17.25" outlineLevel="1" x14ac:dyDescent="0.3">
      <c r="A58" s="68">
        <v>57</v>
      </c>
      <c r="B58" s="69">
        <v>6100000</v>
      </c>
      <c r="C58" s="68">
        <v>54</v>
      </c>
      <c r="D58" s="68" t="s">
        <v>31</v>
      </c>
      <c r="E58" s="68" t="s">
        <v>24</v>
      </c>
      <c r="F58" s="68" t="s">
        <v>38</v>
      </c>
      <c r="G58" s="5">
        <v>63013.000000000007</v>
      </c>
      <c r="H58" s="5">
        <v>84017.333333333343</v>
      </c>
      <c r="I58" s="5">
        <v>27104.098693392432</v>
      </c>
      <c r="J58" s="5">
        <v>26524.098693392432</v>
      </c>
      <c r="K58" s="5">
        <v>3</v>
      </c>
      <c r="L58" s="5">
        <v>98040.106666666674</v>
      </c>
    </row>
    <row r="59" spans="1:12" ht="17.25" outlineLevel="1" x14ac:dyDescent="0.3">
      <c r="A59" s="68">
        <v>58</v>
      </c>
      <c r="B59" s="69">
        <v>7400000</v>
      </c>
      <c r="C59" s="68">
        <v>79</v>
      </c>
      <c r="D59" s="68" t="s">
        <v>31</v>
      </c>
      <c r="E59" s="68" t="s">
        <v>24</v>
      </c>
      <c r="F59" s="68" t="s">
        <v>36</v>
      </c>
      <c r="G59" s="5">
        <v>464971.60000000003</v>
      </c>
      <c r="H59" s="5">
        <v>619962.13333333342</v>
      </c>
      <c r="I59" s="5">
        <v>66149.805321642954</v>
      </c>
      <c r="J59" s="5">
        <v>65569.805321642954</v>
      </c>
      <c r="K59" s="5">
        <v>11</v>
      </c>
      <c r="L59" s="5">
        <v>719736.07466666668</v>
      </c>
    </row>
    <row r="60" spans="1:12" ht="17.25" outlineLevel="1" x14ac:dyDescent="0.3">
      <c r="A60" s="68">
        <v>59</v>
      </c>
      <c r="B60" s="69">
        <v>4700000</v>
      </c>
      <c r="C60" s="68">
        <v>17</v>
      </c>
      <c r="D60" s="68" t="s">
        <v>31</v>
      </c>
      <c r="E60" s="68" t="s">
        <v>24</v>
      </c>
      <c r="F60" s="68" t="s">
        <v>30</v>
      </c>
      <c r="G60" s="5">
        <v>3134.8999999999996</v>
      </c>
      <c r="H60" s="5">
        <v>4179.8666666666659</v>
      </c>
      <c r="I60" s="5">
        <v>3242.0515080184596</v>
      </c>
      <c r="J60" s="5">
        <v>2662.0515080184596</v>
      </c>
      <c r="K60" s="5">
        <v>1</v>
      </c>
      <c r="L60" s="5">
        <v>5428.645333333332</v>
      </c>
    </row>
    <row r="61" spans="1:12" ht="17.25" outlineLevel="1" x14ac:dyDescent="0.3">
      <c r="A61" s="68">
        <v>60</v>
      </c>
      <c r="B61" s="69">
        <v>2400000</v>
      </c>
      <c r="C61" s="68">
        <v>101</v>
      </c>
      <c r="D61" s="68" t="s">
        <v>31</v>
      </c>
      <c r="E61" s="68" t="s">
        <v>24</v>
      </c>
      <c r="F61" s="68" t="s">
        <v>36</v>
      </c>
      <c r="G61" s="5">
        <v>1600.8</v>
      </c>
      <c r="H61" s="5">
        <v>2134.4</v>
      </c>
      <c r="I61" s="5">
        <v>805.74313002963197</v>
      </c>
      <c r="J61" s="5">
        <v>225.743130029632</v>
      </c>
      <c r="K61" s="5">
        <v>11</v>
      </c>
      <c r="L61" s="5">
        <v>3055.904</v>
      </c>
    </row>
    <row r="62" spans="1:12" ht="17.25" outlineLevel="1" x14ac:dyDescent="0.3">
      <c r="A62" s="68">
        <v>61</v>
      </c>
      <c r="B62" s="69">
        <v>7100000</v>
      </c>
      <c r="C62" s="68">
        <v>102</v>
      </c>
      <c r="D62" s="68" t="s">
        <v>37</v>
      </c>
      <c r="E62" s="68" t="s">
        <v>24</v>
      </c>
      <c r="F62" s="68" t="s">
        <v>30</v>
      </c>
      <c r="G62" s="5">
        <v>4735.7</v>
      </c>
      <c r="H62" s="5">
        <v>6314.2666666666664</v>
      </c>
      <c r="I62" s="5">
        <v>4601.396958921503</v>
      </c>
      <c r="J62" s="5">
        <v>4021.396958921503</v>
      </c>
      <c r="K62" s="5">
        <v>1</v>
      </c>
      <c r="L62" s="5">
        <v>7904.5493333333325</v>
      </c>
    </row>
    <row r="63" spans="1:12" ht="17.25" outlineLevel="1" x14ac:dyDescent="0.3">
      <c r="A63" s="68">
        <v>62</v>
      </c>
      <c r="B63" s="69">
        <v>7200000</v>
      </c>
      <c r="C63" s="68">
        <v>79</v>
      </c>
      <c r="D63" s="68" t="s">
        <v>37</v>
      </c>
      <c r="E63" s="68" t="s">
        <v>24</v>
      </c>
      <c r="F63" s="68" t="s">
        <v>52</v>
      </c>
      <c r="G63" s="5">
        <v>393256.8</v>
      </c>
      <c r="H63" s="5">
        <v>524342.4</v>
      </c>
      <c r="I63" s="5">
        <v>110968.20763695842</v>
      </c>
      <c r="J63" s="5">
        <v>110388.20763695842</v>
      </c>
      <c r="K63" s="5">
        <v>5</v>
      </c>
      <c r="L63" s="5">
        <v>608817.18400000001</v>
      </c>
    </row>
    <row r="64" spans="1:12" ht="17.25" outlineLevel="1" x14ac:dyDescent="0.3">
      <c r="A64" s="68">
        <v>63</v>
      </c>
      <c r="B64" s="69">
        <v>2500000</v>
      </c>
      <c r="C64" s="68">
        <v>70</v>
      </c>
      <c r="D64" s="68" t="s">
        <v>31</v>
      </c>
      <c r="E64" s="68" t="s">
        <v>24</v>
      </c>
      <c r="F64" s="68" t="s">
        <v>52</v>
      </c>
      <c r="G64" s="5">
        <v>82950</v>
      </c>
      <c r="H64" s="5">
        <v>110600</v>
      </c>
      <c r="I64" s="5">
        <v>23864.280967260325</v>
      </c>
      <c r="J64" s="5">
        <v>23284.280967260325</v>
      </c>
      <c r="K64" s="5">
        <v>5</v>
      </c>
      <c r="L64" s="5">
        <v>128875.99999999999</v>
      </c>
    </row>
    <row r="65" spans="1:12" ht="17.25" outlineLevel="1" x14ac:dyDescent="0.3">
      <c r="A65" s="68">
        <v>64</v>
      </c>
      <c r="B65" s="69">
        <v>6000000</v>
      </c>
      <c r="C65" s="68">
        <v>93</v>
      </c>
      <c r="D65" s="68" t="s">
        <v>37</v>
      </c>
      <c r="E65" s="68" t="s">
        <v>24</v>
      </c>
      <c r="F65" s="68" t="s">
        <v>53</v>
      </c>
      <c r="G65" s="5">
        <v>844422</v>
      </c>
      <c r="H65" s="5">
        <v>1125896</v>
      </c>
      <c r="I65" s="5">
        <v>1423372.7485871974</v>
      </c>
      <c r="K65" s="5">
        <v>0</v>
      </c>
      <c r="L65" s="5">
        <v>1306619.3599999999</v>
      </c>
    </row>
    <row r="66" spans="1:12" ht="17.25" outlineLevel="1" x14ac:dyDescent="0.3">
      <c r="A66" s="68">
        <v>65</v>
      </c>
      <c r="B66" s="69">
        <v>9000000</v>
      </c>
      <c r="C66" s="68">
        <v>31</v>
      </c>
      <c r="D66" s="68" t="s">
        <v>31</v>
      </c>
      <c r="E66" s="68" t="s">
        <v>24</v>
      </c>
      <c r="F66" s="68" t="s">
        <v>38</v>
      </c>
      <c r="G66" s="5">
        <v>16956</v>
      </c>
      <c r="H66" s="5">
        <v>22608</v>
      </c>
      <c r="I66" s="5">
        <v>7717.2989295091811</v>
      </c>
      <c r="J66" s="5">
        <v>7137.2989295091811</v>
      </c>
      <c r="K66" s="5">
        <v>3</v>
      </c>
      <c r="L66" s="5">
        <v>26805.279999999999</v>
      </c>
    </row>
    <row r="67" spans="1:12" ht="17.25" outlineLevel="1" x14ac:dyDescent="0.3">
      <c r="A67" s="68">
        <v>66</v>
      </c>
      <c r="B67" s="69">
        <v>2000000</v>
      </c>
      <c r="C67" s="68">
        <v>61</v>
      </c>
      <c r="D67" s="68" t="s">
        <v>31</v>
      </c>
      <c r="E67" s="68" t="s">
        <v>24</v>
      </c>
      <c r="F67" s="68" t="s">
        <v>53</v>
      </c>
      <c r="G67" s="5">
        <v>34530</v>
      </c>
      <c r="H67" s="5">
        <v>46040</v>
      </c>
      <c r="I67" s="5">
        <v>58760.665127999891</v>
      </c>
      <c r="K67" s="5">
        <v>0</v>
      </c>
      <c r="L67" s="5">
        <v>53986.399999999994</v>
      </c>
    </row>
    <row r="68" spans="1:12" ht="17.25" outlineLevel="1" x14ac:dyDescent="0.3">
      <c r="A68" s="68">
        <v>67</v>
      </c>
      <c r="B68" s="69">
        <v>1100000</v>
      </c>
      <c r="C68" s="68">
        <v>55</v>
      </c>
      <c r="D68" s="68" t="s">
        <v>31</v>
      </c>
      <c r="E68" s="68" t="s">
        <v>24</v>
      </c>
      <c r="F68" s="68" t="s">
        <v>38</v>
      </c>
      <c r="G68" s="5">
        <v>12230.9</v>
      </c>
      <c r="H68" s="5">
        <v>16307.866666666667</v>
      </c>
      <c r="I68" s="5">
        <v>5728.3598417630246</v>
      </c>
      <c r="J68" s="5">
        <v>5148.3598417630246</v>
      </c>
      <c r="K68" s="5">
        <v>3</v>
      </c>
      <c r="L68" s="5">
        <v>19497.125333333333</v>
      </c>
    </row>
    <row r="69" spans="1:12" ht="17.25" outlineLevel="1" x14ac:dyDescent="0.3">
      <c r="A69" s="68">
        <v>68</v>
      </c>
      <c r="B69" s="69">
        <v>5000000</v>
      </c>
      <c r="C69" s="68">
        <v>17</v>
      </c>
      <c r="D69" s="68" t="s">
        <v>37</v>
      </c>
      <c r="E69" s="68" t="s">
        <v>24</v>
      </c>
      <c r="F69" s="68" t="s">
        <v>38</v>
      </c>
      <c r="G69" s="5">
        <v>2875</v>
      </c>
      <c r="H69" s="5">
        <v>3833.3333333333335</v>
      </c>
      <c r="I69" s="5">
        <v>1790.1754200482956</v>
      </c>
      <c r="J69" s="5">
        <v>1210.1754200482956</v>
      </c>
      <c r="K69" s="5">
        <v>3</v>
      </c>
      <c r="L69" s="5">
        <v>5026.666666666667</v>
      </c>
    </row>
    <row r="70" spans="1:12" ht="17.25" outlineLevel="1" x14ac:dyDescent="0.3">
      <c r="A70" s="68">
        <v>69</v>
      </c>
      <c r="B70" s="69">
        <v>10000000</v>
      </c>
      <c r="C70" s="68">
        <v>101</v>
      </c>
      <c r="D70" s="68" t="s">
        <v>37</v>
      </c>
      <c r="E70" s="68" t="s">
        <v>24</v>
      </c>
      <c r="F70" s="68" t="s">
        <v>53</v>
      </c>
      <c r="G70" s="5">
        <v>5750</v>
      </c>
      <c r="H70" s="5">
        <v>7666.666666666667</v>
      </c>
      <c r="I70" s="5">
        <v>10268.35286666665</v>
      </c>
      <c r="K70" s="5">
        <v>0</v>
      </c>
      <c r="L70" s="5">
        <v>9473.3333333333339</v>
      </c>
    </row>
    <row r="71" spans="1:12" ht="17.25" outlineLevel="1" x14ac:dyDescent="0.3">
      <c r="A71" s="68">
        <v>70</v>
      </c>
      <c r="B71" s="69">
        <v>2200000</v>
      </c>
      <c r="C71" s="68">
        <v>91</v>
      </c>
      <c r="D71" s="68" t="s">
        <v>31</v>
      </c>
      <c r="E71" s="68" t="s">
        <v>24</v>
      </c>
      <c r="F71" s="68" t="s">
        <v>52</v>
      </c>
      <c r="G71" s="5">
        <v>309621.40000000002</v>
      </c>
      <c r="H71" s="5">
        <v>412828.53333333338</v>
      </c>
      <c r="I71" s="5">
        <v>87491.533105201888</v>
      </c>
      <c r="J71" s="5">
        <v>86911.533105201888</v>
      </c>
      <c r="K71" s="5">
        <v>5</v>
      </c>
      <c r="L71" s="5">
        <v>479461.09866666672</v>
      </c>
    </row>
    <row r="72" spans="1:12" ht="17.25" outlineLevel="1" x14ac:dyDescent="0.3">
      <c r="A72" s="68">
        <v>71</v>
      </c>
      <c r="B72" s="69">
        <v>7200000</v>
      </c>
      <c r="C72" s="68">
        <v>19</v>
      </c>
      <c r="D72" s="68" t="s">
        <v>31</v>
      </c>
      <c r="E72" s="68" t="s">
        <v>24</v>
      </c>
      <c r="F72" s="68" t="s">
        <v>52</v>
      </c>
      <c r="G72" s="5">
        <v>5565.6</v>
      </c>
      <c r="H72" s="5">
        <v>7420.8</v>
      </c>
      <c r="I72" s="5">
        <v>2142.2784105049313</v>
      </c>
      <c r="J72" s="5">
        <v>1562.2784105049316</v>
      </c>
      <c r="K72" s="5">
        <v>5</v>
      </c>
      <c r="L72" s="5">
        <v>9188.1279999999988</v>
      </c>
    </row>
    <row r="73" spans="1:12" ht="17.25" outlineLevel="1" x14ac:dyDescent="0.3">
      <c r="A73" s="68">
        <v>72</v>
      </c>
      <c r="B73" s="69">
        <v>8400000</v>
      </c>
      <c r="C73" s="68">
        <v>61</v>
      </c>
      <c r="D73" s="68" t="s">
        <v>37</v>
      </c>
      <c r="E73" s="68" t="s">
        <v>24</v>
      </c>
      <c r="F73" s="68" t="s">
        <v>30</v>
      </c>
      <c r="G73" s="5">
        <v>125277.6</v>
      </c>
      <c r="H73" s="5">
        <v>167036.80000000002</v>
      </c>
      <c r="I73" s="5">
        <v>106961.51902801794</v>
      </c>
      <c r="J73" s="5">
        <v>106381.51902801794</v>
      </c>
      <c r="K73" s="5">
        <v>1</v>
      </c>
      <c r="L73" s="5">
        <v>194342.68799999999</v>
      </c>
    </row>
    <row r="74" spans="1:12" ht="17.25" outlineLevel="1" x14ac:dyDescent="0.3">
      <c r="A74" s="68">
        <v>73</v>
      </c>
      <c r="B74" s="69">
        <v>9200000</v>
      </c>
      <c r="C74" s="68">
        <v>59</v>
      </c>
      <c r="D74" s="68" t="s">
        <v>37</v>
      </c>
      <c r="E74" s="68" t="s">
        <v>24</v>
      </c>
      <c r="F74" s="68" t="s">
        <v>38</v>
      </c>
      <c r="G74" s="5">
        <v>118486.8</v>
      </c>
      <c r="H74" s="5">
        <v>157982.39999999999</v>
      </c>
      <c r="I74" s="5">
        <v>50454.71755136639</v>
      </c>
      <c r="J74" s="5">
        <v>49874.71755136639</v>
      </c>
      <c r="K74" s="5">
        <v>3</v>
      </c>
      <c r="L74" s="5">
        <v>183839.58399999997</v>
      </c>
    </row>
    <row r="75" spans="1:12" ht="17.25" outlineLevel="1" x14ac:dyDescent="0.3">
      <c r="A75" s="68">
        <v>74</v>
      </c>
      <c r="B75" s="69">
        <v>3000000</v>
      </c>
      <c r="C75" s="68">
        <v>49</v>
      </c>
      <c r="D75" s="68" t="s">
        <v>37</v>
      </c>
      <c r="E75" s="68" t="s">
        <v>24</v>
      </c>
      <c r="F75" s="68" t="s">
        <v>52</v>
      </c>
      <c r="G75" s="5">
        <v>18492</v>
      </c>
      <c r="H75" s="5">
        <v>24656</v>
      </c>
      <c r="I75" s="5">
        <v>5770.752545468089</v>
      </c>
      <c r="J75" s="5">
        <v>5190.752545468089</v>
      </c>
      <c r="K75" s="5">
        <v>5</v>
      </c>
      <c r="L75" s="5">
        <v>29180.959999999999</v>
      </c>
    </row>
    <row r="76" spans="1:12" ht="17.25" outlineLevel="1" x14ac:dyDescent="0.3">
      <c r="A76" s="68">
        <v>75</v>
      </c>
      <c r="B76" s="69">
        <v>4100000</v>
      </c>
      <c r="C76" s="68">
        <v>78</v>
      </c>
      <c r="D76" s="68" t="s">
        <v>31</v>
      </c>
      <c r="E76" s="68" t="s">
        <v>24</v>
      </c>
      <c r="F76" s="68" t="s">
        <v>53</v>
      </c>
      <c r="G76" s="5">
        <v>240227.19999999998</v>
      </c>
      <c r="H76" s="5">
        <v>320302.93333333329</v>
      </c>
      <c r="I76" s="5">
        <v>405346.24030805257</v>
      </c>
      <c r="K76" s="5">
        <v>0</v>
      </c>
      <c r="L76" s="5">
        <v>372131.4026666666</v>
      </c>
    </row>
    <row r="77" spans="1:12" ht="17.25" outlineLevel="1" x14ac:dyDescent="0.3">
      <c r="A77" s="68">
        <v>76</v>
      </c>
      <c r="B77" s="69">
        <v>7500000</v>
      </c>
      <c r="C77" s="68">
        <v>24</v>
      </c>
      <c r="D77" s="68" t="s">
        <v>31</v>
      </c>
      <c r="E77" s="68" t="s">
        <v>24</v>
      </c>
      <c r="F77" s="68" t="s">
        <v>53</v>
      </c>
      <c r="G77" s="5">
        <v>8407.5</v>
      </c>
      <c r="H77" s="5">
        <v>11210</v>
      </c>
      <c r="I77" s="5">
        <v>14746.056821999975</v>
      </c>
      <c r="K77" s="5">
        <v>0</v>
      </c>
      <c r="L77" s="5">
        <v>13583.599999999999</v>
      </c>
    </row>
    <row r="78" spans="1:12" ht="17.25" outlineLevel="1" x14ac:dyDescent="0.3">
      <c r="A78" s="68">
        <v>77</v>
      </c>
      <c r="B78" s="69">
        <v>2000000</v>
      </c>
      <c r="C78" s="68">
        <v>98</v>
      </c>
      <c r="D78" s="68" t="s">
        <v>37</v>
      </c>
      <c r="E78" s="68" t="s">
        <v>24</v>
      </c>
      <c r="F78" s="68" t="s">
        <v>36</v>
      </c>
      <c r="G78" s="5">
        <v>384040</v>
      </c>
      <c r="H78" s="5">
        <v>512053.33333333331</v>
      </c>
      <c r="I78" s="5">
        <v>54736.916327198807</v>
      </c>
      <c r="J78" s="5">
        <v>54156.916327198807</v>
      </c>
      <c r="K78" s="5">
        <v>11</v>
      </c>
      <c r="L78" s="5">
        <v>594561.86666666658</v>
      </c>
    </row>
    <row r="79" spans="1:12" ht="17.25" outlineLevel="1" x14ac:dyDescent="0.3">
      <c r="A79" s="68">
        <v>78</v>
      </c>
      <c r="B79" s="69">
        <v>5700000</v>
      </c>
      <c r="C79" s="68">
        <v>39</v>
      </c>
      <c r="D79" s="68" t="s">
        <v>31</v>
      </c>
      <c r="E79" s="68" t="s">
        <v>24</v>
      </c>
      <c r="F79" s="68" t="s">
        <v>38</v>
      </c>
      <c r="G79" s="5">
        <v>19437</v>
      </c>
      <c r="H79" s="5">
        <v>25916</v>
      </c>
      <c r="I79" s="5">
        <v>8761.6277006882483</v>
      </c>
      <c r="J79" s="5">
        <v>8181.6277006882492</v>
      </c>
      <c r="K79" s="5">
        <v>3</v>
      </c>
      <c r="L79" s="5">
        <v>30642.559999999998</v>
      </c>
    </row>
    <row r="80" spans="1:12" ht="17.25" outlineLevel="1" x14ac:dyDescent="0.3">
      <c r="A80" s="68">
        <v>79</v>
      </c>
      <c r="B80" s="69">
        <v>4500000</v>
      </c>
      <c r="C80" s="68">
        <v>81</v>
      </c>
      <c r="D80" s="68" t="s">
        <v>31</v>
      </c>
      <c r="E80" s="68" t="s">
        <v>24</v>
      </c>
      <c r="F80" s="68" t="s">
        <v>52</v>
      </c>
      <c r="G80" s="5">
        <v>324855</v>
      </c>
      <c r="H80" s="5">
        <v>433140</v>
      </c>
      <c r="I80" s="5">
        <v>91767.644287153147</v>
      </c>
      <c r="J80" s="5">
        <v>91187.644287153147</v>
      </c>
      <c r="K80" s="5">
        <v>5</v>
      </c>
      <c r="L80" s="5">
        <v>503022.39999999997</v>
      </c>
    </row>
    <row r="81" spans="1:12" ht="17.25" outlineLevel="1" x14ac:dyDescent="0.3">
      <c r="A81" s="68">
        <v>80</v>
      </c>
      <c r="B81" s="69">
        <v>5100000</v>
      </c>
      <c r="C81" s="68">
        <v>73</v>
      </c>
      <c r="D81" s="68" t="s">
        <v>37</v>
      </c>
      <c r="E81" s="68" t="s">
        <v>24</v>
      </c>
      <c r="F81" s="68" t="s">
        <v>30</v>
      </c>
      <c r="G81" s="5">
        <v>181820.1</v>
      </c>
      <c r="H81" s="5">
        <v>242426.80000000002</v>
      </c>
      <c r="I81" s="5">
        <v>154975.50588314375</v>
      </c>
      <c r="J81" s="5">
        <v>154395.50588314375</v>
      </c>
      <c r="K81" s="5">
        <v>1</v>
      </c>
      <c r="L81" s="5">
        <v>281795.08799999999</v>
      </c>
    </row>
    <row r="82" spans="1:12" ht="17.25" outlineLevel="1" x14ac:dyDescent="0.3">
      <c r="A82" s="68">
        <v>81</v>
      </c>
      <c r="B82" s="69">
        <v>8800000</v>
      </c>
      <c r="C82" s="68">
        <v>22</v>
      </c>
      <c r="D82" s="68" t="s">
        <v>37</v>
      </c>
      <c r="E82" s="68" t="s">
        <v>24</v>
      </c>
      <c r="F82" s="68" t="s">
        <v>30</v>
      </c>
      <c r="G82" s="5">
        <v>7330.4</v>
      </c>
      <c r="H82" s="5">
        <v>9773.8666666666668</v>
      </c>
      <c r="I82" s="5">
        <v>6804.7288189028413</v>
      </c>
      <c r="J82" s="5">
        <v>6224.7288189028413</v>
      </c>
      <c r="K82" s="5">
        <v>1</v>
      </c>
      <c r="L82" s="5">
        <v>11917.685333333333</v>
      </c>
    </row>
    <row r="83" spans="1:12" ht="17.25" outlineLevel="1" x14ac:dyDescent="0.3">
      <c r="A83" s="68">
        <v>82</v>
      </c>
      <c r="B83" s="69">
        <v>2500000</v>
      </c>
      <c r="C83" s="68">
        <v>100</v>
      </c>
      <c r="D83" s="68" t="s">
        <v>31</v>
      </c>
      <c r="E83" s="68" t="s">
        <v>24</v>
      </c>
      <c r="F83" s="68" t="s">
        <v>52</v>
      </c>
      <c r="G83" s="5">
        <v>2082.5</v>
      </c>
      <c r="H83" s="5">
        <v>2776.6666666666665</v>
      </c>
      <c r="I83" s="5">
        <v>1164.5631719628648</v>
      </c>
      <c r="J83" s="5">
        <v>584.56317196286466</v>
      </c>
      <c r="K83" s="5">
        <v>5</v>
      </c>
      <c r="L83" s="5">
        <v>3800.9333333333329</v>
      </c>
    </row>
    <row r="84" spans="1:12" ht="17.25" outlineLevel="1" x14ac:dyDescent="0.3">
      <c r="A84" s="68">
        <v>83</v>
      </c>
      <c r="B84" s="69">
        <v>5400000</v>
      </c>
      <c r="C84" s="68">
        <v>76</v>
      </c>
      <c r="D84" s="68" t="s">
        <v>31</v>
      </c>
      <c r="E84" s="68" t="s">
        <v>24</v>
      </c>
      <c r="F84" s="68" t="s">
        <v>53</v>
      </c>
      <c r="G84" s="5">
        <v>274870.8</v>
      </c>
      <c r="H84" s="5">
        <v>366494.39999999997</v>
      </c>
      <c r="I84" s="5">
        <v>463718.31359007914</v>
      </c>
      <c r="K84" s="5">
        <v>0</v>
      </c>
      <c r="L84" s="5">
        <v>425713.50399999996</v>
      </c>
    </row>
    <row r="85" spans="1:12" ht="17.25" outlineLevel="1" x14ac:dyDescent="0.3">
      <c r="A85" s="68">
        <v>84</v>
      </c>
      <c r="B85" s="69">
        <v>6800000</v>
      </c>
      <c r="C85" s="68">
        <v>52</v>
      </c>
      <c r="D85" s="68" t="s">
        <v>37</v>
      </c>
      <c r="E85" s="68" t="s">
        <v>24</v>
      </c>
      <c r="F85" s="68" t="s">
        <v>52</v>
      </c>
      <c r="G85" s="5">
        <v>52312.4</v>
      </c>
      <c r="H85" s="5">
        <v>69749.866666666669</v>
      </c>
      <c r="I85" s="5">
        <v>15264.226879707163</v>
      </c>
      <c r="J85" s="5">
        <v>14684.226879707163</v>
      </c>
      <c r="K85" s="5">
        <v>5</v>
      </c>
      <c r="L85" s="5">
        <v>81489.845333333331</v>
      </c>
    </row>
    <row r="86" spans="1:12" ht="17.25" outlineLevel="1" x14ac:dyDescent="0.3">
      <c r="A86" s="68">
        <v>85</v>
      </c>
      <c r="B86" s="69">
        <v>7400000</v>
      </c>
      <c r="C86" s="68">
        <v>81</v>
      </c>
      <c r="D86" s="68" t="s">
        <v>31</v>
      </c>
      <c r="E86" s="68" t="s">
        <v>24</v>
      </c>
      <c r="F86" s="68" t="s">
        <v>52</v>
      </c>
      <c r="G86" s="5">
        <v>534206</v>
      </c>
      <c r="H86" s="5">
        <v>712274.66666666663</v>
      </c>
      <c r="I86" s="5">
        <v>150533.01504998517</v>
      </c>
      <c r="J86" s="5">
        <v>149953.01504998517</v>
      </c>
      <c r="K86" s="5">
        <v>5</v>
      </c>
      <c r="L86" s="5">
        <v>826818.61333333328</v>
      </c>
    </row>
    <row r="87" spans="1:12" ht="17.25" outlineLevel="1" x14ac:dyDescent="0.3">
      <c r="A87" s="68">
        <v>86</v>
      </c>
      <c r="B87" s="69">
        <v>7100000</v>
      </c>
      <c r="C87" s="68">
        <v>26</v>
      </c>
      <c r="D87" s="68" t="s">
        <v>31</v>
      </c>
      <c r="E87" s="68" t="s">
        <v>24</v>
      </c>
      <c r="F87" s="68" t="s">
        <v>38</v>
      </c>
      <c r="G87" s="5">
        <v>9230</v>
      </c>
      <c r="H87" s="5">
        <v>12306.666666666666</v>
      </c>
      <c r="I87" s="5">
        <v>4465.1892615811357</v>
      </c>
      <c r="J87" s="5">
        <v>3885.1892615811362</v>
      </c>
      <c r="K87" s="5">
        <v>3</v>
      </c>
      <c r="L87" s="5">
        <v>14855.733333333332</v>
      </c>
    </row>
    <row r="88" spans="1:12" ht="17.25" outlineLevel="1" x14ac:dyDescent="0.3">
      <c r="A88" s="68">
        <v>87</v>
      </c>
      <c r="B88" s="69">
        <v>5400000</v>
      </c>
      <c r="C88" s="68">
        <v>15</v>
      </c>
      <c r="D88" s="68" t="s">
        <v>37</v>
      </c>
      <c r="E88" s="68" t="s">
        <v>24</v>
      </c>
      <c r="F88" s="68" t="s">
        <v>53</v>
      </c>
      <c r="G88" s="5">
        <v>2673</v>
      </c>
      <c r="H88" s="5">
        <v>3564</v>
      </c>
      <c r="I88" s="5">
        <v>5083.820384799993</v>
      </c>
      <c r="K88" s="5">
        <v>0</v>
      </c>
      <c r="L88" s="5">
        <v>4714.24</v>
      </c>
    </row>
    <row r="89" spans="1:12" ht="17.25" outlineLevel="1" x14ac:dyDescent="0.3">
      <c r="A89" s="68">
        <v>88</v>
      </c>
      <c r="B89" s="69">
        <v>9500000</v>
      </c>
      <c r="C89" s="68">
        <v>69</v>
      </c>
      <c r="D89" s="68" t="s">
        <v>37</v>
      </c>
      <c r="E89" s="68" t="s">
        <v>24</v>
      </c>
      <c r="F89" s="68" t="s">
        <v>53</v>
      </c>
      <c r="G89" s="5">
        <v>253840</v>
      </c>
      <c r="H89" s="5">
        <v>338453.33333333331</v>
      </c>
      <c r="I89" s="5">
        <v>428282.86811733252</v>
      </c>
      <c r="K89" s="5">
        <v>0</v>
      </c>
      <c r="L89" s="5">
        <v>393185.86666666664</v>
      </c>
    </row>
    <row r="90" spans="1:12" ht="17.25" outlineLevel="1" x14ac:dyDescent="0.3">
      <c r="A90" s="68">
        <v>89</v>
      </c>
      <c r="B90" s="69">
        <v>1100000</v>
      </c>
      <c r="C90" s="68">
        <v>74</v>
      </c>
      <c r="D90" s="68" t="s">
        <v>31</v>
      </c>
      <c r="E90" s="68" t="s">
        <v>24</v>
      </c>
      <c r="F90" s="68" t="s">
        <v>30</v>
      </c>
      <c r="G90" s="5">
        <v>48591.399999999994</v>
      </c>
      <c r="H90" s="5">
        <v>64788.533333333326</v>
      </c>
      <c r="I90" s="5">
        <v>41842.180499131762</v>
      </c>
      <c r="J90" s="5">
        <v>41262.180499131762</v>
      </c>
      <c r="K90" s="5">
        <v>1</v>
      </c>
      <c r="L90" s="5">
        <v>75734.698666666649</v>
      </c>
    </row>
    <row r="91" spans="1:12" ht="17.25" outlineLevel="1" x14ac:dyDescent="0.3">
      <c r="A91" s="68">
        <v>90</v>
      </c>
      <c r="B91" s="69">
        <v>5900000</v>
      </c>
      <c r="C91" s="68">
        <v>79</v>
      </c>
      <c r="D91" s="68" t="s">
        <v>37</v>
      </c>
      <c r="E91" s="68" t="s">
        <v>24</v>
      </c>
      <c r="F91" s="68" t="s">
        <v>36</v>
      </c>
      <c r="G91" s="5">
        <v>322252.09999999998</v>
      </c>
      <c r="H91" s="5">
        <v>429669.46666666662</v>
      </c>
      <c r="I91" s="5">
        <v>46023.651744516465</v>
      </c>
      <c r="J91" s="5">
        <v>45443.651744516465</v>
      </c>
      <c r="K91" s="5">
        <v>11</v>
      </c>
      <c r="L91" s="5">
        <v>498996.58133333322</v>
      </c>
    </row>
    <row r="92" spans="1:12" ht="17.25" outlineLevel="1" x14ac:dyDescent="0.3">
      <c r="A92" s="68">
        <v>91</v>
      </c>
      <c r="B92" s="69">
        <v>7700000</v>
      </c>
      <c r="C92" s="68">
        <v>105</v>
      </c>
      <c r="D92" s="68" t="s">
        <v>31</v>
      </c>
      <c r="E92" s="68" t="s">
        <v>24</v>
      </c>
      <c r="F92" s="68" t="s">
        <v>30</v>
      </c>
      <c r="G92" s="5">
        <v>420566.3</v>
      </c>
      <c r="H92" s="5">
        <v>560755.06666666665</v>
      </c>
      <c r="I92" s="5">
        <v>357710.73882316635</v>
      </c>
      <c r="J92" s="5">
        <v>357130.73882316635</v>
      </c>
      <c r="K92" s="5">
        <v>1</v>
      </c>
      <c r="L92" s="5">
        <v>651055.87733333325</v>
      </c>
    </row>
    <row r="93" spans="1:12" ht="17.25" outlineLevel="1" x14ac:dyDescent="0.3">
      <c r="A93" s="68">
        <v>92</v>
      </c>
      <c r="B93" s="69">
        <v>5900000</v>
      </c>
      <c r="C93" s="68">
        <v>10</v>
      </c>
      <c r="D93" s="68" t="s">
        <v>31</v>
      </c>
      <c r="E93" s="68" t="s">
        <v>24</v>
      </c>
      <c r="F93" s="68" t="s">
        <v>30</v>
      </c>
      <c r="G93" s="5">
        <v>2336.3999999999996</v>
      </c>
      <c r="H93" s="5">
        <v>3115.1999999999994</v>
      </c>
      <c r="I93" s="5">
        <v>2563.9921985818778</v>
      </c>
      <c r="J93" s="5">
        <v>1983.9921985818778</v>
      </c>
      <c r="K93" s="5">
        <v>1</v>
      </c>
      <c r="L93" s="5">
        <v>4193.6319999999987</v>
      </c>
    </row>
    <row r="94" spans="1:12" ht="17.25" outlineLevel="1" x14ac:dyDescent="0.3">
      <c r="A94" s="68">
        <v>93</v>
      </c>
      <c r="B94" s="69">
        <v>3800000</v>
      </c>
      <c r="C94" s="68">
        <v>33</v>
      </c>
      <c r="D94" s="68" t="s">
        <v>31</v>
      </c>
      <c r="E94" s="68" t="s">
        <v>24</v>
      </c>
      <c r="F94" s="68" t="s">
        <v>52</v>
      </c>
      <c r="G94" s="5">
        <v>8306.7999999999993</v>
      </c>
      <c r="H94" s="5">
        <v>11075.733333333332</v>
      </c>
      <c r="I94" s="5">
        <v>2911.7403874483184</v>
      </c>
      <c r="J94" s="5">
        <v>2331.7403874483189</v>
      </c>
      <c r="K94" s="5">
        <v>5</v>
      </c>
      <c r="L94" s="5">
        <v>13427.850666666664</v>
      </c>
    </row>
    <row r="95" spans="1:12" ht="17.25" outlineLevel="1" x14ac:dyDescent="0.3">
      <c r="A95" s="68">
        <v>94</v>
      </c>
      <c r="B95" s="69">
        <v>2200000</v>
      </c>
      <c r="C95" s="68">
        <v>97</v>
      </c>
      <c r="D95" s="68" t="s">
        <v>31</v>
      </c>
      <c r="E95" s="68" t="s">
        <v>24</v>
      </c>
      <c r="F95" s="68" t="s">
        <v>38</v>
      </c>
      <c r="G95" s="5">
        <v>448441.39999999997</v>
      </c>
      <c r="H95" s="5">
        <v>597921.86666666658</v>
      </c>
      <c r="I95" s="5">
        <v>189342.69899549414</v>
      </c>
      <c r="J95" s="5">
        <v>188762.69899549414</v>
      </c>
      <c r="K95" s="5">
        <v>3</v>
      </c>
      <c r="L95" s="5">
        <v>694169.36533333315</v>
      </c>
    </row>
    <row r="96" spans="1:12" ht="17.25" outlineLevel="1" x14ac:dyDescent="0.3">
      <c r="A96" s="68">
        <v>95</v>
      </c>
      <c r="B96" s="69">
        <v>2500000</v>
      </c>
      <c r="C96" s="68">
        <v>93</v>
      </c>
      <c r="D96" s="68" t="s">
        <v>37</v>
      </c>
      <c r="E96" s="68" t="s">
        <v>24</v>
      </c>
      <c r="F96" s="68" t="s">
        <v>52</v>
      </c>
      <c r="G96" s="5">
        <v>351842.5</v>
      </c>
      <c r="H96" s="5">
        <v>469123.33333333331</v>
      </c>
      <c r="I96" s="5">
        <v>99343.105801365775</v>
      </c>
      <c r="J96" s="5">
        <v>98763.105801365775</v>
      </c>
      <c r="K96" s="5">
        <v>5</v>
      </c>
      <c r="L96" s="5">
        <v>544763.06666666665</v>
      </c>
    </row>
    <row r="97" spans="1:12" ht="17.25" outlineLevel="1" x14ac:dyDescent="0.3">
      <c r="A97" s="68">
        <v>96</v>
      </c>
      <c r="B97" s="69">
        <v>3600000</v>
      </c>
      <c r="C97" s="68">
        <v>62</v>
      </c>
      <c r="D97" s="68" t="s">
        <v>37</v>
      </c>
      <c r="E97" s="68" t="s">
        <v>24</v>
      </c>
      <c r="F97" s="68" t="s">
        <v>53</v>
      </c>
      <c r="G97" s="5">
        <v>57772.799999999996</v>
      </c>
      <c r="H97" s="5">
        <v>77030.399999999994</v>
      </c>
      <c r="I97" s="5">
        <v>97923.17782527981</v>
      </c>
      <c r="K97" s="5">
        <v>0</v>
      </c>
      <c r="L97" s="5">
        <v>89935.263999999981</v>
      </c>
    </row>
    <row r="98" spans="1:12" ht="17.25" outlineLevel="1" x14ac:dyDescent="0.3">
      <c r="A98" s="68">
        <v>97</v>
      </c>
      <c r="B98" s="69">
        <v>4200000</v>
      </c>
      <c r="C98" s="68">
        <v>45</v>
      </c>
      <c r="D98" s="68" t="s">
        <v>31</v>
      </c>
      <c r="E98" s="68" t="s">
        <v>24</v>
      </c>
      <c r="F98" s="68" t="s">
        <v>30</v>
      </c>
      <c r="G98" s="5">
        <v>22331.399999999998</v>
      </c>
      <c r="H98" s="5">
        <v>29775.199999999997</v>
      </c>
      <c r="I98" s="5">
        <v>19543.072840015131</v>
      </c>
      <c r="J98" s="5">
        <v>18963.072840015131</v>
      </c>
      <c r="K98" s="5">
        <v>1</v>
      </c>
      <c r="L98" s="5">
        <v>35119.231999999996</v>
      </c>
    </row>
    <row r="99" spans="1:12" ht="17.25" outlineLevel="1" x14ac:dyDescent="0.3">
      <c r="A99" s="68">
        <v>98</v>
      </c>
      <c r="B99" s="69">
        <v>3800000</v>
      </c>
      <c r="C99" s="68">
        <v>83</v>
      </c>
      <c r="D99" s="68" t="s">
        <v>37</v>
      </c>
      <c r="E99" s="68" t="s">
        <v>24</v>
      </c>
      <c r="F99" s="68" t="s">
        <v>53</v>
      </c>
      <c r="G99" s="5">
        <v>274322</v>
      </c>
      <c r="H99" s="5">
        <v>365762.66666666669</v>
      </c>
      <c r="I99" s="5">
        <v>462793.62349386583</v>
      </c>
      <c r="K99" s="5">
        <v>0</v>
      </c>
      <c r="L99" s="5">
        <v>424864.6933333333</v>
      </c>
    </row>
    <row r="100" spans="1:12" ht="17.25" outlineLevel="1" x14ac:dyDescent="0.3">
      <c r="A100" s="68">
        <v>99</v>
      </c>
      <c r="B100" s="69">
        <v>5400000</v>
      </c>
      <c r="C100" s="68">
        <v>13</v>
      </c>
      <c r="D100" s="68" t="s">
        <v>31</v>
      </c>
      <c r="E100" s="68" t="s">
        <v>24</v>
      </c>
      <c r="F100" s="68" t="s">
        <v>36</v>
      </c>
      <c r="G100" s="5">
        <v>2673</v>
      </c>
      <c r="H100" s="5">
        <v>3564</v>
      </c>
      <c r="I100" s="5">
        <v>956.94364478336229</v>
      </c>
      <c r="J100" s="5">
        <v>376.94364478336229</v>
      </c>
      <c r="K100" s="5">
        <v>11</v>
      </c>
      <c r="L100" s="5">
        <v>4714.24</v>
      </c>
    </row>
    <row r="101" spans="1:12" ht="17.25" outlineLevel="1" x14ac:dyDescent="0.3">
      <c r="A101" s="68">
        <v>100</v>
      </c>
      <c r="B101" s="69">
        <v>6100000</v>
      </c>
      <c r="C101" s="68">
        <v>47</v>
      </c>
      <c r="D101" s="68" t="s">
        <v>31</v>
      </c>
      <c r="E101" s="68" t="s">
        <v>24</v>
      </c>
      <c r="F101" s="68" t="s">
        <v>38</v>
      </c>
      <c r="G101" s="5">
        <v>37600.400000000001</v>
      </c>
      <c r="H101" s="5">
        <v>50133.866666666669</v>
      </c>
      <c r="I101" s="5">
        <v>16407.158213559625</v>
      </c>
      <c r="J101" s="5">
        <v>15827.158213559627</v>
      </c>
      <c r="K101" s="5">
        <v>3</v>
      </c>
      <c r="L101" s="5">
        <v>58735.285333333333</v>
      </c>
    </row>
    <row r="102" spans="1:12" ht="17.25" outlineLevel="1" x14ac:dyDescent="0.3">
      <c r="A102" s="68">
        <v>101</v>
      </c>
      <c r="B102" s="69">
        <v>5800000</v>
      </c>
      <c r="C102" s="68">
        <v>33</v>
      </c>
      <c r="D102" s="68" t="s">
        <v>31</v>
      </c>
      <c r="E102" s="68" t="s">
        <v>24</v>
      </c>
      <c r="F102" s="68" t="s">
        <v>36</v>
      </c>
      <c r="G102" s="5">
        <v>12678.8</v>
      </c>
      <c r="H102" s="5">
        <v>16905.066666666666</v>
      </c>
      <c r="I102" s="5">
        <v>2367.9510226259981</v>
      </c>
      <c r="J102" s="5">
        <v>1787.9510226259981</v>
      </c>
      <c r="K102" s="5">
        <v>11</v>
      </c>
      <c r="L102" s="5">
        <v>20189.87733333333</v>
      </c>
    </row>
    <row r="103" spans="1:12" ht="17.25" outlineLevel="1" x14ac:dyDescent="0.3">
      <c r="A103" s="68">
        <v>102</v>
      </c>
      <c r="B103" s="69">
        <v>5100000</v>
      </c>
      <c r="C103" s="68">
        <v>56</v>
      </c>
      <c r="D103" s="68" t="s">
        <v>37</v>
      </c>
      <c r="E103" s="68" t="s">
        <v>24</v>
      </c>
      <c r="F103" s="68" t="s">
        <v>30</v>
      </c>
      <c r="G103" s="5">
        <v>52683</v>
      </c>
      <c r="H103" s="5">
        <v>70244</v>
      </c>
      <c r="I103" s="5">
        <v>45316.629428988657</v>
      </c>
      <c r="J103" s="5">
        <v>44736.629428988657</v>
      </c>
      <c r="K103" s="5">
        <v>1</v>
      </c>
      <c r="L103" s="5">
        <v>82063.039999999994</v>
      </c>
    </row>
    <row r="104" spans="1:12" ht="17.25" outlineLevel="1" x14ac:dyDescent="0.3">
      <c r="A104" s="68">
        <v>103</v>
      </c>
      <c r="B104" s="69">
        <v>9300000</v>
      </c>
      <c r="C104" s="68">
        <v>79</v>
      </c>
      <c r="D104" s="68" t="s">
        <v>37</v>
      </c>
      <c r="E104" s="68" t="s">
        <v>24</v>
      </c>
      <c r="F104" s="68" t="s">
        <v>36</v>
      </c>
      <c r="G104" s="5">
        <v>507956.7</v>
      </c>
      <c r="H104" s="5">
        <v>677275.6</v>
      </c>
      <c r="I104" s="5">
        <v>72211.518851525965</v>
      </c>
      <c r="J104" s="5">
        <v>71631.518851525965</v>
      </c>
      <c r="K104" s="5">
        <v>11</v>
      </c>
      <c r="L104" s="5">
        <v>786219.69599999988</v>
      </c>
    </row>
    <row r="105" spans="1:12" ht="17.25" outlineLevel="1" x14ac:dyDescent="0.3">
      <c r="A105" s="68">
        <v>104</v>
      </c>
      <c r="B105" s="69">
        <v>7800000</v>
      </c>
      <c r="C105" s="68">
        <v>51</v>
      </c>
      <c r="D105" s="68" t="s">
        <v>31</v>
      </c>
      <c r="E105" s="68" t="s">
        <v>24</v>
      </c>
      <c r="F105" s="68" t="s">
        <v>38</v>
      </c>
      <c r="G105" s="5">
        <v>64599.6</v>
      </c>
      <c r="H105" s="5">
        <v>86132.800000000003</v>
      </c>
      <c r="I105" s="5">
        <v>27771.947153026736</v>
      </c>
      <c r="J105" s="5">
        <v>27191.947153026736</v>
      </c>
      <c r="K105" s="5">
        <v>3</v>
      </c>
      <c r="L105" s="5">
        <v>100494.048</v>
      </c>
    </row>
    <row r="106" spans="1:12" ht="17.25" outlineLevel="1" x14ac:dyDescent="0.3">
      <c r="A106" s="68">
        <v>105</v>
      </c>
      <c r="B106" s="69">
        <v>4500000</v>
      </c>
      <c r="C106" s="68">
        <v>86</v>
      </c>
      <c r="D106" s="68" t="s">
        <v>31</v>
      </c>
      <c r="E106" s="68" t="s">
        <v>24</v>
      </c>
      <c r="F106" s="68" t="s">
        <v>53</v>
      </c>
      <c r="G106" s="5">
        <v>456462</v>
      </c>
      <c r="H106" s="5">
        <v>608616</v>
      </c>
      <c r="I106" s="5">
        <v>769686.94369119848</v>
      </c>
      <c r="K106" s="5">
        <v>0</v>
      </c>
      <c r="L106" s="5">
        <v>706574.55999999994</v>
      </c>
    </row>
    <row r="107" spans="1:12" ht="17.25" outlineLevel="1" x14ac:dyDescent="0.3">
      <c r="A107" s="68">
        <v>106</v>
      </c>
      <c r="B107" s="69">
        <v>5200000</v>
      </c>
      <c r="C107" s="68">
        <v>48</v>
      </c>
      <c r="D107" s="68" t="s">
        <v>37</v>
      </c>
      <c r="E107" s="68" t="s">
        <v>24</v>
      </c>
      <c r="F107" s="68" t="s">
        <v>38</v>
      </c>
      <c r="G107" s="5">
        <v>29770</v>
      </c>
      <c r="H107" s="5">
        <v>39693.333333333336</v>
      </c>
      <c r="I107" s="5">
        <v>13111.103392987046</v>
      </c>
      <c r="J107" s="5">
        <v>12531.103392987046</v>
      </c>
      <c r="K107" s="5">
        <v>3</v>
      </c>
      <c r="L107" s="5">
        <v>46624.266666666663</v>
      </c>
    </row>
    <row r="108" spans="1:12" ht="17.25" outlineLevel="1" x14ac:dyDescent="0.3">
      <c r="A108" s="68">
        <v>107</v>
      </c>
      <c r="B108" s="69">
        <v>6900000</v>
      </c>
      <c r="C108" s="68">
        <v>82</v>
      </c>
      <c r="D108" s="68" t="s">
        <v>31</v>
      </c>
      <c r="E108" s="68" t="s">
        <v>24</v>
      </c>
      <c r="F108" s="68" t="s">
        <v>38</v>
      </c>
      <c r="G108" s="5">
        <v>533625.30000000005</v>
      </c>
      <c r="H108" s="5">
        <v>711500.4</v>
      </c>
      <c r="I108" s="5">
        <v>225199.20750466009</v>
      </c>
      <c r="J108" s="5">
        <v>224619.20750466009</v>
      </c>
      <c r="K108" s="5">
        <v>3</v>
      </c>
      <c r="L108" s="5">
        <v>825920.46399999992</v>
      </c>
    </row>
    <row r="109" spans="1:12" ht="17.25" outlineLevel="1" x14ac:dyDescent="0.3">
      <c r="A109" s="68">
        <v>108</v>
      </c>
      <c r="B109" s="69">
        <v>2800000</v>
      </c>
      <c r="C109" s="68">
        <v>43</v>
      </c>
      <c r="D109" s="68" t="s">
        <v>37</v>
      </c>
      <c r="E109" s="68" t="s">
        <v>24</v>
      </c>
      <c r="F109" s="68" t="s">
        <v>38</v>
      </c>
      <c r="G109" s="5">
        <v>11071.2</v>
      </c>
      <c r="H109" s="5">
        <v>14761.6</v>
      </c>
      <c r="I109" s="5">
        <v>5240.2066471091102</v>
      </c>
      <c r="J109" s="5">
        <v>4660.2066471091093</v>
      </c>
      <c r="K109" s="5">
        <v>3</v>
      </c>
      <c r="L109" s="5">
        <v>17703.455999999998</v>
      </c>
    </row>
    <row r="110" spans="1:12" ht="17.25" outlineLevel="1" x14ac:dyDescent="0.3">
      <c r="A110" s="68">
        <v>109</v>
      </c>
      <c r="B110" s="69">
        <v>7700000</v>
      </c>
      <c r="C110" s="68">
        <v>50</v>
      </c>
      <c r="D110" s="68" t="s">
        <v>31</v>
      </c>
      <c r="E110" s="68" t="s">
        <v>24</v>
      </c>
      <c r="F110" s="68" t="s">
        <v>38</v>
      </c>
      <c r="G110" s="5">
        <v>59236.1</v>
      </c>
      <c r="H110" s="5">
        <v>78981.46666666666</v>
      </c>
      <c r="I110" s="5">
        <v>25514.285982442725</v>
      </c>
      <c r="J110" s="5">
        <v>24934.285982442725</v>
      </c>
      <c r="K110" s="5">
        <v>3</v>
      </c>
      <c r="L110" s="5">
        <v>92198.501333333319</v>
      </c>
    </row>
    <row r="111" spans="1:12" ht="17.25" outlineLevel="1" x14ac:dyDescent="0.3">
      <c r="A111" s="68">
        <v>110</v>
      </c>
      <c r="B111" s="69">
        <v>4400000</v>
      </c>
      <c r="C111" s="68">
        <v>103</v>
      </c>
      <c r="D111" s="68" t="s">
        <v>37</v>
      </c>
      <c r="E111" s="68" t="s">
        <v>24</v>
      </c>
      <c r="F111" s="68" t="s">
        <v>38</v>
      </c>
      <c r="G111" s="5">
        <v>33849.200000000004</v>
      </c>
      <c r="H111" s="5">
        <v>45132.26666666667</v>
      </c>
      <c r="I111" s="5">
        <v>14828.163418538701</v>
      </c>
      <c r="J111" s="5">
        <v>14248.163418538701</v>
      </c>
      <c r="K111" s="5">
        <v>3</v>
      </c>
      <c r="L111" s="5">
        <v>52933.429333333333</v>
      </c>
    </row>
    <row r="112" spans="1:12" ht="17.25" outlineLevel="1" x14ac:dyDescent="0.3">
      <c r="A112" s="68">
        <v>111</v>
      </c>
      <c r="B112" s="69">
        <v>8500000</v>
      </c>
      <c r="C112" s="68">
        <v>30</v>
      </c>
      <c r="D112" s="68" t="s">
        <v>31</v>
      </c>
      <c r="E112" s="68" t="s">
        <v>24</v>
      </c>
      <c r="F112" s="68" t="s">
        <v>36</v>
      </c>
      <c r="G112" s="5">
        <v>14866.5</v>
      </c>
      <c r="H112" s="5">
        <v>19822</v>
      </c>
      <c r="I112" s="5">
        <v>2676.4581725296875</v>
      </c>
      <c r="J112" s="5">
        <v>2096.4581725296875</v>
      </c>
      <c r="K112" s="5">
        <v>11</v>
      </c>
      <c r="L112" s="5">
        <v>23573.519999999997</v>
      </c>
    </row>
    <row r="113" spans="1:12" ht="17.25" outlineLevel="1" x14ac:dyDescent="0.3">
      <c r="A113" s="68">
        <v>112</v>
      </c>
      <c r="B113" s="69">
        <v>3400000</v>
      </c>
      <c r="C113" s="68">
        <v>73</v>
      </c>
      <c r="D113" s="68" t="s">
        <v>37</v>
      </c>
      <c r="E113" s="68" t="s">
        <v>24</v>
      </c>
      <c r="F113" s="68" t="s">
        <v>36</v>
      </c>
      <c r="G113" s="5">
        <v>121213.40000000001</v>
      </c>
      <c r="H113" s="5">
        <v>161617.86666666667</v>
      </c>
      <c r="I113" s="5">
        <v>17673.38600545589</v>
      </c>
      <c r="J113" s="5">
        <v>17093.38600545589</v>
      </c>
      <c r="K113" s="5">
        <v>11</v>
      </c>
      <c r="L113" s="5">
        <v>188056.72533333334</v>
      </c>
    </row>
    <row r="114" spans="1:12" ht="17.25" outlineLevel="1" x14ac:dyDescent="0.3">
      <c r="A114" s="68">
        <v>113</v>
      </c>
      <c r="B114" s="69">
        <v>2100000</v>
      </c>
      <c r="C114" s="68">
        <v>24</v>
      </c>
      <c r="D114" s="68" t="s">
        <v>37</v>
      </c>
      <c r="E114" s="68" t="s">
        <v>24</v>
      </c>
      <c r="F114" s="68" t="s">
        <v>38</v>
      </c>
      <c r="G114" s="5">
        <v>2028.6</v>
      </c>
      <c r="H114" s="5">
        <v>2704.7999999999997</v>
      </c>
      <c r="I114" s="5">
        <v>1433.8997763860771</v>
      </c>
      <c r="J114" s="5">
        <v>853.89977638607718</v>
      </c>
      <c r="K114" s="5">
        <v>3</v>
      </c>
      <c r="L114" s="5">
        <v>3717.5679999999993</v>
      </c>
    </row>
    <row r="115" spans="1:12" ht="17.25" outlineLevel="1" x14ac:dyDescent="0.3">
      <c r="A115" s="68">
        <v>114</v>
      </c>
      <c r="B115" s="69">
        <v>9500000</v>
      </c>
      <c r="C115" s="68">
        <v>84</v>
      </c>
      <c r="D115" s="68" t="s">
        <v>31</v>
      </c>
      <c r="E115" s="68" t="s">
        <v>24</v>
      </c>
      <c r="F115" s="68" t="s">
        <v>52</v>
      </c>
      <c r="G115" s="5">
        <v>842165.5</v>
      </c>
      <c r="H115" s="5">
        <v>1122887.3333333333</v>
      </c>
      <c r="I115" s="5">
        <v>236978.04849829143</v>
      </c>
      <c r="J115" s="5">
        <v>236398.04849829143</v>
      </c>
      <c r="K115" s="5">
        <v>5</v>
      </c>
      <c r="L115" s="5">
        <v>1303129.3066666664</v>
      </c>
    </row>
    <row r="116" spans="1:12" ht="17.25" outlineLevel="1" x14ac:dyDescent="0.3">
      <c r="A116" s="68">
        <v>115</v>
      </c>
      <c r="B116" s="69">
        <v>10000000</v>
      </c>
      <c r="C116" s="68">
        <v>19</v>
      </c>
      <c r="D116" s="68" t="s">
        <v>31</v>
      </c>
      <c r="E116" s="68" t="s">
        <v>24</v>
      </c>
      <c r="F116" s="68" t="s">
        <v>36</v>
      </c>
      <c r="G116" s="5">
        <v>7730</v>
      </c>
      <c r="H116" s="5">
        <v>10306.666666666666</v>
      </c>
      <c r="I116" s="5">
        <v>1670.0764587262963</v>
      </c>
      <c r="J116" s="5">
        <v>1090.0764587262963</v>
      </c>
      <c r="K116" s="5">
        <v>11</v>
      </c>
      <c r="L116" s="5">
        <v>12535.733333333332</v>
      </c>
    </row>
    <row r="117" spans="1:12" ht="17.25" outlineLevel="1" x14ac:dyDescent="0.3">
      <c r="A117" s="68">
        <v>116</v>
      </c>
      <c r="B117" s="69">
        <v>4700000</v>
      </c>
      <c r="C117" s="68">
        <v>54</v>
      </c>
      <c r="D117" s="68" t="s">
        <v>37</v>
      </c>
      <c r="E117" s="68" t="s">
        <v>24</v>
      </c>
      <c r="F117" s="68" t="s">
        <v>36</v>
      </c>
      <c r="G117" s="5">
        <v>41900.5</v>
      </c>
      <c r="H117" s="5">
        <v>55867.333333333336</v>
      </c>
      <c r="I117" s="5">
        <v>6488.7643801890272</v>
      </c>
      <c r="J117" s="5">
        <v>5908.7643801890272</v>
      </c>
      <c r="K117" s="5">
        <v>11</v>
      </c>
      <c r="L117" s="5">
        <v>65386.106666666667</v>
      </c>
    </row>
    <row r="118" spans="1:12" ht="17.25" outlineLevel="1" x14ac:dyDescent="0.3">
      <c r="A118" s="68">
        <v>117</v>
      </c>
      <c r="B118" s="69">
        <v>1200000</v>
      </c>
      <c r="C118" s="68">
        <v>105</v>
      </c>
      <c r="D118" s="68" t="s">
        <v>31</v>
      </c>
      <c r="E118" s="68" t="s">
        <v>24</v>
      </c>
      <c r="F118" s="68" t="s">
        <v>38</v>
      </c>
      <c r="G118" s="5">
        <v>10698</v>
      </c>
      <c r="H118" s="5">
        <v>14264</v>
      </c>
      <c r="I118" s="5">
        <v>5083.1153543223181</v>
      </c>
      <c r="J118" s="5">
        <v>4503.1153543223181</v>
      </c>
      <c r="K118" s="5">
        <v>3</v>
      </c>
      <c r="L118" s="5">
        <v>17126.239999999998</v>
      </c>
    </row>
    <row r="119" spans="1:12" ht="17.25" outlineLevel="1" x14ac:dyDescent="0.3">
      <c r="A119" s="68">
        <v>118</v>
      </c>
      <c r="B119" s="69">
        <v>1600000</v>
      </c>
      <c r="C119" s="68">
        <v>54</v>
      </c>
      <c r="D119" s="68" t="s">
        <v>31</v>
      </c>
      <c r="E119" s="68" t="s">
        <v>24</v>
      </c>
      <c r="F119" s="68" t="s">
        <v>30</v>
      </c>
      <c r="G119" s="5">
        <v>16528</v>
      </c>
      <c r="H119" s="5">
        <v>22037.333333333332</v>
      </c>
      <c r="I119" s="5">
        <v>14615.020997329773</v>
      </c>
      <c r="J119" s="5">
        <v>14035.020997329773</v>
      </c>
      <c r="K119" s="5">
        <v>1</v>
      </c>
      <c r="L119" s="5">
        <v>26143.306666666664</v>
      </c>
    </row>
    <row r="120" spans="1:12" ht="17.25" outlineLevel="1" x14ac:dyDescent="0.3">
      <c r="A120" s="68">
        <v>119</v>
      </c>
      <c r="B120" s="69">
        <v>2900000</v>
      </c>
      <c r="C120" s="68">
        <v>77</v>
      </c>
      <c r="D120" s="68" t="s">
        <v>31</v>
      </c>
      <c r="E120" s="68" t="s">
        <v>24</v>
      </c>
      <c r="F120" s="68" t="s">
        <v>52</v>
      </c>
      <c r="G120" s="5">
        <v>158395.1</v>
      </c>
      <c r="H120" s="5">
        <v>211193.46666666667</v>
      </c>
      <c r="I120" s="5">
        <v>45041.916964886033</v>
      </c>
      <c r="J120" s="5">
        <v>44461.916964886033</v>
      </c>
      <c r="K120" s="5">
        <v>5</v>
      </c>
      <c r="L120" s="5">
        <v>245564.42133333333</v>
      </c>
    </row>
    <row r="121" spans="1:12" ht="17.25" outlineLevel="1" x14ac:dyDescent="0.3">
      <c r="A121" s="68">
        <v>120</v>
      </c>
      <c r="B121" s="69">
        <v>7100000</v>
      </c>
      <c r="C121" s="68">
        <v>53</v>
      </c>
      <c r="D121" s="68" t="s">
        <v>31</v>
      </c>
      <c r="E121" s="68" t="s">
        <v>24</v>
      </c>
      <c r="F121" s="68" t="s">
        <v>30</v>
      </c>
      <c r="G121" s="5">
        <v>68138.7</v>
      </c>
      <c r="H121" s="5">
        <v>90851.599999999991</v>
      </c>
      <c r="I121" s="5">
        <v>58441.08937746576</v>
      </c>
      <c r="J121" s="5">
        <v>57861.08937746576</v>
      </c>
      <c r="K121" s="5">
        <v>1</v>
      </c>
      <c r="L121" s="5">
        <v>105967.85599999999</v>
      </c>
    </row>
    <row r="122" spans="1:12" ht="17.25" outlineLevel="1" x14ac:dyDescent="0.3">
      <c r="A122" s="68">
        <v>121</v>
      </c>
      <c r="B122" s="69">
        <v>5200000</v>
      </c>
      <c r="C122" s="68">
        <v>47</v>
      </c>
      <c r="D122" s="68" t="s">
        <v>31</v>
      </c>
      <c r="E122" s="68" t="s">
        <v>24</v>
      </c>
      <c r="F122" s="68" t="s">
        <v>53</v>
      </c>
      <c r="G122" s="5">
        <v>32052.799999999999</v>
      </c>
      <c r="H122" s="5">
        <v>42737.066666666666</v>
      </c>
      <c r="I122" s="5">
        <v>54586.754219946568</v>
      </c>
      <c r="K122" s="5">
        <v>0</v>
      </c>
      <c r="L122" s="5">
        <v>50154.997333333326</v>
      </c>
    </row>
    <row r="123" spans="1:12" ht="17.25" outlineLevel="1" x14ac:dyDescent="0.3">
      <c r="A123" s="68">
        <v>122</v>
      </c>
      <c r="B123" s="69">
        <v>9400000</v>
      </c>
      <c r="C123" s="68">
        <v>75</v>
      </c>
      <c r="D123" s="68" t="s">
        <v>31</v>
      </c>
      <c r="E123" s="68" t="s">
        <v>24</v>
      </c>
      <c r="F123" s="68" t="s">
        <v>53</v>
      </c>
      <c r="G123" s="5">
        <v>445785.60000000003</v>
      </c>
      <c r="H123" s="5">
        <v>594380.80000000005</v>
      </c>
      <c r="I123" s="5">
        <v>751697.9470745587</v>
      </c>
      <c r="K123" s="5">
        <v>0</v>
      </c>
      <c r="L123" s="5">
        <v>690061.728</v>
      </c>
    </row>
    <row r="124" spans="1:12" ht="17.25" outlineLevel="1" x14ac:dyDescent="0.3">
      <c r="A124" s="68">
        <v>123</v>
      </c>
      <c r="B124" s="69">
        <v>7500000</v>
      </c>
      <c r="C124" s="68">
        <v>82</v>
      </c>
      <c r="D124" s="68" t="s">
        <v>37</v>
      </c>
      <c r="E124" s="68" t="s">
        <v>24</v>
      </c>
      <c r="F124" s="68" t="s">
        <v>38</v>
      </c>
      <c r="G124" s="5">
        <v>505215.00000000006</v>
      </c>
      <c r="H124" s="5">
        <v>673620.00000000012</v>
      </c>
      <c r="I124" s="5">
        <v>213240.44342250424</v>
      </c>
      <c r="J124" s="5">
        <v>212660.44342250424</v>
      </c>
      <c r="K124" s="5">
        <v>3</v>
      </c>
      <c r="L124" s="5">
        <v>781979.20000000007</v>
      </c>
    </row>
    <row r="125" spans="1:12" ht="17.25" outlineLevel="1" x14ac:dyDescent="0.3">
      <c r="A125" s="68">
        <v>124</v>
      </c>
      <c r="B125" s="69">
        <v>5100000</v>
      </c>
      <c r="C125" s="68">
        <v>65</v>
      </c>
      <c r="D125" s="68" t="s">
        <v>31</v>
      </c>
      <c r="E125" s="68" t="s">
        <v>24</v>
      </c>
      <c r="F125" s="68" t="s">
        <v>36</v>
      </c>
      <c r="G125" s="5">
        <v>117866.09999999999</v>
      </c>
      <c r="H125" s="5">
        <v>157154.79999999999</v>
      </c>
      <c r="I125" s="5">
        <v>17201.353284848577</v>
      </c>
      <c r="J125" s="5">
        <v>16621.353284848577</v>
      </c>
      <c r="K125" s="5">
        <v>11</v>
      </c>
      <c r="L125" s="5">
        <v>182879.56799999997</v>
      </c>
    </row>
    <row r="126" spans="1:12" ht="17.25" outlineLevel="1" x14ac:dyDescent="0.3">
      <c r="A126" s="68">
        <v>125</v>
      </c>
      <c r="B126" s="69">
        <v>2500000</v>
      </c>
      <c r="C126" s="68">
        <v>51</v>
      </c>
      <c r="D126" s="68" t="s">
        <v>37</v>
      </c>
      <c r="E126" s="68" t="s">
        <v>24</v>
      </c>
      <c r="F126" s="68" t="s">
        <v>30</v>
      </c>
      <c r="G126" s="5">
        <v>17862.5</v>
      </c>
      <c r="H126" s="5">
        <v>23816.666666666668</v>
      </c>
      <c r="I126" s="5">
        <v>15748.233456244136</v>
      </c>
      <c r="J126" s="5">
        <v>15168.233456244136</v>
      </c>
      <c r="K126" s="5">
        <v>1</v>
      </c>
      <c r="L126" s="5">
        <v>28207.333333333332</v>
      </c>
    </row>
    <row r="127" spans="1:12" ht="17.25" outlineLevel="1" x14ac:dyDescent="0.3">
      <c r="A127" s="68">
        <v>126</v>
      </c>
      <c r="B127" s="69">
        <v>8000000</v>
      </c>
      <c r="C127" s="68">
        <v>85</v>
      </c>
      <c r="D127" s="68" t="s">
        <v>37</v>
      </c>
      <c r="E127" s="68" t="s">
        <v>24</v>
      </c>
      <c r="F127" s="68" t="s">
        <v>36</v>
      </c>
      <c r="G127" s="5">
        <v>662536</v>
      </c>
      <c r="H127" s="5">
        <v>883381.33333333337</v>
      </c>
      <c r="I127" s="5">
        <v>94010.128933853237</v>
      </c>
      <c r="J127" s="5">
        <v>93430.128933853237</v>
      </c>
      <c r="K127" s="5">
        <v>11</v>
      </c>
      <c r="L127" s="5">
        <v>1025302.3466666667</v>
      </c>
    </row>
    <row r="128" spans="1:12" ht="17.25" outlineLevel="1" x14ac:dyDescent="0.3">
      <c r="A128" s="68">
        <v>127</v>
      </c>
      <c r="B128" s="69">
        <v>900000</v>
      </c>
      <c r="C128" s="68">
        <v>63</v>
      </c>
      <c r="D128" s="68" t="s">
        <v>31</v>
      </c>
      <c r="E128" s="68" t="s">
        <v>24</v>
      </c>
      <c r="F128" s="68" t="s">
        <v>52</v>
      </c>
      <c r="G128" s="5">
        <v>17982</v>
      </c>
      <c r="H128" s="5">
        <v>23976</v>
      </c>
      <c r="I128" s="5">
        <v>5627.5942176404487</v>
      </c>
      <c r="J128" s="5">
        <v>5047.5942176404487</v>
      </c>
      <c r="K128" s="5">
        <v>5</v>
      </c>
      <c r="L128" s="5">
        <v>28392.16</v>
      </c>
    </row>
    <row r="129" spans="1:12" ht="17.25" outlineLevel="1" x14ac:dyDescent="0.3">
      <c r="A129" s="68">
        <v>128</v>
      </c>
      <c r="B129" s="69">
        <v>6000000</v>
      </c>
      <c r="C129" s="68">
        <v>13</v>
      </c>
      <c r="D129" s="68" t="s">
        <v>31</v>
      </c>
      <c r="E129" s="68" t="s">
        <v>24</v>
      </c>
      <c r="F129" s="68" t="s">
        <v>52</v>
      </c>
      <c r="G129" s="5">
        <v>2970</v>
      </c>
      <c r="H129" s="5">
        <v>3960</v>
      </c>
      <c r="I129" s="5">
        <v>1413.6867326433176</v>
      </c>
      <c r="J129" s="5">
        <v>833.68673264331733</v>
      </c>
      <c r="K129" s="5">
        <v>5</v>
      </c>
      <c r="L129" s="5">
        <v>5173.5999999999995</v>
      </c>
    </row>
    <row r="130" spans="1:12" ht="17.25" outlineLevel="1" x14ac:dyDescent="0.3">
      <c r="A130" s="68">
        <v>129</v>
      </c>
      <c r="B130" s="69">
        <v>1900000</v>
      </c>
      <c r="C130" s="68">
        <v>16</v>
      </c>
      <c r="D130" s="68" t="s">
        <v>31</v>
      </c>
      <c r="E130" s="68" t="s">
        <v>24</v>
      </c>
      <c r="F130" s="68" t="s">
        <v>30</v>
      </c>
      <c r="G130" s="5">
        <v>1176.0999999999999</v>
      </c>
      <c r="H130" s="5">
        <v>1568.1333333333332</v>
      </c>
      <c r="I130" s="5">
        <v>1578.7045132477942</v>
      </c>
      <c r="J130" s="5">
        <v>998.70451324779435</v>
      </c>
      <c r="K130" s="5">
        <v>1</v>
      </c>
      <c r="L130" s="5">
        <v>2399.0346666666665</v>
      </c>
    </row>
    <row r="131" spans="1:12" ht="17.25" outlineLevel="1" x14ac:dyDescent="0.3">
      <c r="A131" s="68">
        <v>130</v>
      </c>
      <c r="B131" s="69">
        <v>8400000</v>
      </c>
      <c r="C131" s="68">
        <v>75</v>
      </c>
      <c r="D131" s="68" t="s">
        <v>37</v>
      </c>
      <c r="E131" s="68" t="s">
        <v>24</v>
      </c>
      <c r="F131" s="68" t="s">
        <v>30</v>
      </c>
      <c r="G131" s="5">
        <v>345542.39999999997</v>
      </c>
      <c r="H131" s="5">
        <v>460723.19999999995</v>
      </c>
      <c r="I131" s="5">
        <v>294002.96947408776</v>
      </c>
      <c r="J131" s="5">
        <v>293422.96947408776</v>
      </c>
      <c r="K131" s="5">
        <v>1</v>
      </c>
      <c r="L131" s="5">
        <v>535018.91199999989</v>
      </c>
    </row>
    <row r="132" spans="1:12" ht="17.25" outlineLevel="1" x14ac:dyDescent="0.3">
      <c r="A132" s="68">
        <v>131</v>
      </c>
      <c r="B132" s="69">
        <v>2500000</v>
      </c>
      <c r="C132" s="68">
        <v>62</v>
      </c>
      <c r="D132" s="68" t="s">
        <v>37</v>
      </c>
      <c r="E132" s="68" t="s">
        <v>24</v>
      </c>
      <c r="F132" s="68" t="s">
        <v>36</v>
      </c>
      <c r="G132" s="5">
        <v>40120</v>
      </c>
      <c r="H132" s="5">
        <v>53493.333333333336</v>
      </c>
      <c r="I132" s="5">
        <v>6237.6801454203123</v>
      </c>
      <c r="J132" s="5">
        <v>5657.6801454203123</v>
      </c>
      <c r="K132" s="5">
        <v>11</v>
      </c>
      <c r="L132" s="5">
        <v>62632.266666666663</v>
      </c>
    </row>
    <row r="133" spans="1:12" ht="17.25" outlineLevel="1" x14ac:dyDescent="0.3">
      <c r="A133" s="68">
        <v>132</v>
      </c>
      <c r="B133" s="69">
        <v>1600000</v>
      </c>
      <c r="C133" s="68">
        <v>57</v>
      </c>
      <c r="D133" s="68" t="s">
        <v>37</v>
      </c>
      <c r="E133" s="68" t="s">
        <v>24</v>
      </c>
      <c r="F133" s="68" t="s">
        <v>30</v>
      </c>
      <c r="G133" s="5">
        <v>17790.400000000001</v>
      </c>
      <c r="H133" s="5">
        <v>23720.533333333336</v>
      </c>
      <c r="I133" s="5">
        <v>15687.008564308786</v>
      </c>
      <c r="J133" s="5">
        <v>15107.008564308786</v>
      </c>
      <c r="K133" s="5">
        <v>1</v>
      </c>
      <c r="L133" s="5">
        <v>28095.81866666667</v>
      </c>
    </row>
    <row r="134" spans="1:12" ht="17.25" outlineLevel="1" x14ac:dyDescent="0.3">
      <c r="A134" s="68">
        <v>133</v>
      </c>
      <c r="B134" s="69">
        <v>9900000</v>
      </c>
      <c r="C134" s="68">
        <v>103</v>
      </c>
      <c r="D134" s="68" t="s">
        <v>37</v>
      </c>
      <c r="E134" s="68" t="s">
        <v>24</v>
      </c>
      <c r="F134" s="68" t="s">
        <v>38</v>
      </c>
      <c r="G134" s="5">
        <v>110078.1</v>
      </c>
      <c r="H134" s="5">
        <v>146770.80000000002</v>
      </c>
      <c r="I134" s="5">
        <v>46915.238575867224</v>
      </c>
      <c r="J134" s="5">
        <v>46335.238575867224</v>
      </c>
      <c r="K134" s="5">
        <v>3</v>
      </c>
      <c r="L134" s="5">
        <v>170834.128</v>
      </c>
    </row>
    <row r="135" spans="1:12" ht="17.25" outlineLevel="1" x14ac:dyDescent="0.3">
      <c r="A135" s="68">
        <v>134</v>
      </c>
      <c r="B135" s="69">
        <v>8200000</v>
      </c>
      <c r="C135" s="68">
        <v>27</v>
      </c>
      <c r="D135" s="68" t="s">
        <v>31</v>
      </c>
      <c r="E135" s="68" t="s">
        <v>24</v>
      </c>
      <c r="F135" s="68" t="s">
        <v>30</v>
      </c>
      <c r="G135" s="5">
        <v>11480</v>
      </c>
      <c r="H135" s="5">
        <v>15306.666666666666</v>
      </c>
      <c r="I135" s="5">
        <v>10328.429395531572</v>
      </c>
      <c r="J135" s="5">
        <v>9748.4293955315716</v>
      </c>
      <c r="K135" s="5">
        <v>1</v>
      </c>
      <c r="L135" s="5">
        <v>18335.73333333333</v>
      </c>
    </row>
    <row r="136" spans="1:12" ht="17.25" outlineLevel="1" x14ac:dyDescent="0.3">
      <c r="A136" s="68">
        <v>135</v>
      </c>
      <c r="B136" s="69">
        <v>4000000</v>
      </c>
      <c r="C136" s="68">
        <v>22</v>
      </c>
      <c r="D136" s="68" t="s">
        <v>31</v>
      </c>
      <c r="E136" s="68" t="s">
        <v>24</v>
      </c>
      <c r="F136" s="68" t="s">
        <v>38</v>
      </c>
      <c r="G136" s="5">
        <v>3864</v>
      </c>
      <c r="H136" s="5">
        <v>5152</v>
      </c>
      <c r="I136" s="5">
        <v>2206.475764544909</v>
      </c>
      <c r="J136" s="5">
        <v>1626.4757645449088</v>
      </c>
      <c r="K136" s="5">
        <v>3</v>
      </c>
      <c r="L136" s="5">
        <v>6556.32</v>
      </c>
    </row>
    <row r="137" spans="1:12" ht="17.25" outlineLevel="1" x14ac:dyDescent="0.3">
      <c r="A137" s="68">
        <v>136</v>
      </c>
      <c r="B137" s="69">
        <v>9700000</v>
      </c>
      <c r="C137" s="68">
        <v>57</v>
      </c>
      <c r="D137" s="68" t="s">
        <v>31</v>
      </c>
      <c r="E137" s="68" t="s">
        <v>24</v>
      </c>
      <c r="F137" s="68" t="s">
        <v>52</v>
      </c>
      <c r="G137" s="5">
        <v>124926.3</v>
      </c>
      <c r="H137" s="5">
        <v>166568.4</v>
      </c>
      <c r="I137" s="5">
        <v>35647.137666066948</v>
      </c>
      <c r="J137" s="5">
        <v>35067.137666066948</v>
      </c>
      <c r="K137" s="5">
        <v>5</v>
      </c>
      <c r="L137" s="5">
        <v>193799.34399999998</v>
      </c>
    </row>
    <row r="138" spans="1:12" ht="17.25" outlineLevel="1" x14ac:dyDescent="0.3">
      <c r="A138" s="68">
        <v>137</v>
      </c>
      <c r="B138" s="69">
        <v>6400000</v>
      </c>
      <c r="C138" s="68">
        <v>38</v>
      </c>
      <c r="D138" s="68" t="s">
        <v>37</v>
      </c>
      <c r="E138" s="68" t="s">
        <v>24</v>
      </c>
      <c r="F138" s="68" t="s">
        <v>38</v>
      </c>
      <c r="G138" s="5">
        <v>17472</v>
      </c>
      <c r="H138" s="5">
        <v>23296</v>
      </c>
      <c r="I138" s="5">
        <v>7934.4991092465452</v>
      </c>
      <c r="J138" s="5">
        <v>7354.4991092465452</v>
      </c>
      <c r="K138" s="5">
        <v>3</v>
      </c>
      <c r="L138" s="5">
        <v>27603.359999999997</v>
      </c>
    </row>
    <row r="139" spans="1:12" ht="17.25" outlineLevel="1" x14ac:dyDescent="0.3">
      <c r="A139" s="68">
        <v>138</v>
      </c>
      <c r="B139" s="69">
        <v>8000000</v>
      </c>
      <c r="C139" s="68">
        <v>27</v>
      </c>
      <c r="D139" s="68" t="s">
        <v>37</v>
      </c>
      <c r="E139" s="68" t="s">
        <v>24</v>
      </c>
      <c r="F139" s="68" t="s">
        <v>30</v>
      </c>
      <c r="G139" s="5">
        <v>9656</v>
      </c>
      <c r="H139" s="5">
        <v>12874.666666666666</v>
      </c>
      <c r="I139" s="5">
        <v>8779.5500211892722</v>
      </c>
      <c r="J139" s="5">
        <v>8199.5500211892722</v>
      </c>
      <c r="K139" s="5">
        <v>1</v>
      </c>
      <c r="L139" s="5">
        <v>15514.613333333331</v>
      </c>
    </row>
    <row r="140" spans="1:12" ht="17.25" outlineLevel="1" x14ac:dyDescent="0.3">
      <c r="A140" s="68">
        <v>139</v>
      </c>
      <c r="B140" s="69">
        <v>2700000</v>
      </c>
      <c r="C140" s="68">
        <v>94</v>
      </c>
      <c r="D140" s="68" t="s">
        <v>37</v>
      </c>
      <c r="E140" s="68" t="s">
        <v>24</v>
      </c>
      <c r="F140" s="68" t="s">
        <v>38</v>
      </c>
      <c r="G140" s="5">
        <v>404954.10000000003</v>
      </c>
      <c r="H140" s="5">
        <v>539938.80000000005</v>
      </c>
      <c r="I140" s="5">
        <v>171037.56454531458</v>
      </c>
      <c r="J140" s="5">
        <v>170457.56454531458</v>
      </c>
      <c r="K140" s="5">
        <v>3</v>
      </c>
      <c r="L140" s="5">
        <v>626909.00800000003</v>
      </c>
    </row>
    <row r="141" spans="1:12" ht="17.25" outlineLevel="1" x14ac:dyDescent="0.3">
      <c r="A141" s="68">
        <v>140</v>
      </c>
      <c r="B141" s="69">
        <v>3400000</v>
      </c>
      <c r="C141" s="68">
        <v>82</v>
      </c>
      <c r="D141" s="68" t="s">
        <v>31</v>
      </c>
      <c r="E141" s="68" t="s">
        <v>24</v>
      </c>
      <c r="F141" s="68" t="s">
        <v>38</v>
      </c>
      <c r="G141" s="5">
        <v>262945.8</v>
      </c>
      <c r="H141" s="5">
        <v>350594.39999999997</v>
      </c>
      <c r="I141" s="5">
        <v>111261.92833562958</v>
      </c>
      <c r="J141" s="5">
        <v>110681.92833562958</v>
      </c>
      <c r="K141" s="5">
        <v>3</v>
      </c>
      <c r="L141" s="5">
        <v>407269.50399999996</v>
      </c>
    </row>
    <row r="142" spans="1:12" ht="17.25" outlineLevel="1" x14ac:dyDescent="0.3">
      <c r="A142" s="68">
        <v>141</v>
      </c>
      <c r="B142" s="69">
        <v>1000000</v>
      </c>
      <c r="C142" s="68">
        <v>18</v>
      </c>
      <c r="D142" s="68" t="s">
        <v>31</v>
      </c>
      <c r="E142" s="68" t="s">
        <v>24</v>
      </c>
      <c r="F142" s="68" t="s">
        <v>53</v>
      </c>
      <c r="G142" s="5">
        <v>718</v>
      </c>
      <c r="H142" s="5">
        <v>957.33333333333337</v>
      </c>
      <c r="I142" s="5">
        <v>1789.7804101333311</v>
      </c>
      <c r="K142" s="5">
        <v>0</v>
      </c>
      <c r="L142" s="5">
        <v>1690.5066666666667</v>
      </c>
    </row>
    <row r="143" spans="1:12" ht="17.25" outlineLevel="1" x14ac:dyDescent="0.3">
      <c r="A143" s="68">
        <v>142</v>
      </c>
      <c r="B143" s="69">
        <v>5000000</v>
      </c>
      <c r="C143" s="68">
        <v>67</v>
      </c>
      <c r="D143" s="68" t="s">
        <v>31</v>
      </c>
      <c r="E143" s="68" t="s">
        <v>24</v>
      </c>
      <c r="F143" s="68" t="s">
        <v>30</v>
      </c>
      <c r="G143" s="5">
        <v>133600</v>
      </c>
      <c r="H143" s="5">
        <v>178133.33333333334</v>
      </c>
      <c r="I143" s="5">
        <v>114028.62083998413</v>
      </c>
      <c r="J143" s="5">
        <v>113448.62083998413</v>
      </c>
      <c r="K143" s="5">
        <v>1</v>
      </c>
      <c r="L143" s="5">
        <v>207214.66666666666</v>
      </c>
    </row>
    <row r="144" spans="1:12" ht="17.25" outlineLevel="1" x14ac:dyDescent="0.3">
      <c r="A144" s="68">
        <v>143</v>
      </c>
      <c r="B144" s="69">
        <v>4400000</v>
      </c>
      <c r="C144" s="68">
        <v>86</v>
      </c>
      <c r="D144" s="68" t="s">
        <v>31</v>
      </c>
      <c r="E144" s="68" t="s">
        <v>24</v>
      </c>
      <c r="F144" s="68" t="s">
        <v>36</v>
      </c>
      <c r="G144" s="5">
        <v>446318.39999999997</v>
      </c>
      <c r="H144" s="5">
        <v>595091.19999999995</v>
      </c>
      <c r="I144" s="5">
        <v>63519.350703284166</v>
      </c>
      <c r="J144" s="5">
        <v>62939.350703284166</v>
      </c>
      <c r="K144" s="5">
        <v>11</v>
      </c>
      <c r="L144" s="5">
        <v>690885.7919999999</v>
      </c>
    </row>
    <row r="145" spans="1:12" ht="17.25" outlineLevel="1" x14ac:dyDescent="0.3">
      <c r="A145" s="68">
        <v>144</v>
      </c>
      <c r="B145" s="69">
        <v>6700000</v>
      </c>
      <c r="C145" s="68">
        <v>36</v>
      </c>
      <c r="D145" s="68" t="s">
        <v>31</v>
      </c>
      <c r="E145" s="68" t="s">
        <v>24</v>
      </c>
      <c r="F145" s="68" t="s">
        <v>52</v>
      </c>
      <c r="G145" s="5">
        <v>18291</v>
      </c>
      <c r="H145" s="5">
        <v>24388</v>
      </c>
      <c r="I145" s="5">
        <v>5714.3313221477829</v>
      </c>
      <c r="J145" s="5">
        <v>5134.3313221477829</v>
      </c>
      <c r="K145" s="5">
        <v>5</v>
      </c>
      <c r="L145" s="5">
        <v>28870.079999999998</v>
      </c>
    </row>
    <row r="146" spans="1:12" ht="17.25" outlineLevel="1" x14ac:dyDescent="0.3">
      <c r="A146" s="68">
        <v>145</v>
      </c>
      <c r="B146" s="69">
        <v>6500000</v>
      </c>
      <c r="C146" s="68">
        <v>55</v>
      </c>
      <c r="D146" s="68" t="s">
        <v>31</v>
      </c>
      <c r="E146" s="68" t="s">
        <v>24</v>
      </c>
      <c r="F146" s="68" t="s">
        <v>36</v>
      </c>
      <c r="G146" s="5">
        <v>72273.5</v>
      </c>
      <c r="H146" s="5">
        <v>96364.666666666672</v>
      </c>
      <c r="I146" s="5">
        <v>10771.93285119728</v>
      </c>
      <c r="J146" s="5">
        <v>10191.93285119728</v>
      </c>
      <c r="K146" s="5">
        <v>11</v>
      </c>
      <c r="L146" s="5">
        <v>112363.01333333334</v>
      </c>
    </row>
    <row r="147" spans="1:12" ht="17.25" outlineLevel="1" x14ac:dyDescent="0.3">
      <c r="A147" s="68">
        <v>146</v>
      </c>
      <c r="B147" s="69">
        <v>6600000</v>
      </c>
      <c r="C147" s="68">
        <v>70</v>
      </c>
      <c r="D147" s="68" t="s">
        <v>31</v>
      </c>
      <c r="E147" s="68" t="s">
        <v>24</v>
      </c>
      <c r="F147" s="68" t="s">
        <v>52</v>
      </c>
      <c r="G147" s="5">
        <v>218988</v>
      </c>
      <c r="H147" s="5">
        <v>291984</v>
      </c>
      <c r="I147" s="5">
        <v>62050.50175356726</v>
      </c>
      <c r="J147" s="5">
        <v>61470.50175356726</v>
      </c>
      <c r="K147" s="5">
        <v>5</v>
      </c>
      <c r="L147" s="5">
        <v>339281.44</v>
      </c>
    </row>
    <row r="148" spans="1:12" ht="17.25" outlineLevel="1" x14ac:dyDescent="0.3">
      <c r="A148" s="68">
        <v>147</v>
      </c>
      <c r="B148" s="69">
        <v>3100000</v>
      </c>
      <c r="C148" s="68">
        <v>99</v>
      </c>
      <c r="D148" s="68" t="s">
        <v>37</v>
      </c>
      <c r="E148" s="68" t="s">
        <v>24</v>
      </c>
      <c r="F148" s="68" t="s">
        <v>38</v>
      </c>
      <c r="G148" s="5">
        <v>631894.69999999995</v>
      </c>
      <c r="H148" s="5">
        <v>842526.2666666666</v>
      </c>
      <c r="I148" s="5">
        <v>266563.80313001445</v>
      </c>
      <c r="J148" s="5">
        <v>265983.80313001445</v>
      </c>
      <c r="K148" s="5">
        <v>3</v>
      </c>
      <c r="L148" s="5">
        <v>977910.4693333332</v>
      </c>
    </row>
    <row r="149" spans="1:12" ht="17.25" outlineLevel="1" x14ac:dyDescent="0.3">
      <c r="A149" s="68">
        <v>148</v>
      </c>
      <c r="B149" s="69">
        <v>4300000</v>
      </c>
      <c r="C149" s="68">
        <v>11</v>
      </c>
      <c r="D149" s="68" t="s">
        <v>37</v>
      </c>
      <c r="E149" s="68" t="s">
        <v>24</v>
      </c>
      <c r="F149" s="68" t="s">
        <v>30</v>
      </c>
      <c r="G149" s="5">
        <v>876499.1</v>
      </c>
      <c r="H149" s="5">
        <v>1168665.4666666666</v>
      </c>
      <c r="I149" s="5">
        <v>744873.51843179145</v>
      </c>
      <c r="J149" s="5">
        <v>744293.51843179145</v>
      </c>
      <c r="K149" s="5">
        <v>1</v>
      </c>
      <c r="L149" s="5">
        <v>1356231.941333333</v>
      </c>
    </row>
    <row r="150" spans="1:12" ht="17.25" outlineLevel="1" x14ac:dyDescent="0.3">
      <c r="A150" s="68">
        <v>149</v>
      </c>
      <c r="B150" s="69">
        <v>9300000</v>
      </c>
      <c r="C150" s="68">
        <v>99</v>
      </c>
      <c r="D150" s="68" t="s">
        <v>37</v>
      </c>
      <c r="E150" s="68" t="s">
        <v>24</v>
      </c>
      <c r="F150" s="68" t="s">
        <v>38</v>
      </c>
      <c r="G150" s="5">
        <v>1895684.0999999999</v>
      </c>
      <c r="H150" s="5">
        <v>2527578.7999999998</v>
      </c>
      <c r="I150" s="5">
        <v>798531.40939004347</v>
      </c>
      <c r="J150" s="5">
        <v>797951.40939004347</v>
      </c>
      <c r="K150" s="5">
        <v>3</v>
      </c>
      <c r="L150" s="5">
        <v>2932571.4079999994</v>
      </c>
    </row>
    <row r="151" spans="1:12" ht="17.25" outlineLevel="1" x14ac:dyDescent="0.3">
      <c r="A151" s="68">
        <v>150</v>
      </c>
      <c r="B151" s="69">
        <v>4200000</v>
      </c>
      <c r="C151" s="68">
        <v>100</v>
      </c>
      <c r="D151" s="68" t="s">
        <v>37</v>
      </c>
      <c r="E151" s="68" t="s">
        <v>24</v>
      </c>
      <c r="F151" s="68" t="s">
        <v>36</v>
      </c>
      <c r="G151" s="5">
        <v>4200000</v>
      </c>
      <c r="H151" s="5">
        <v>5600000</v>
      </c>
      <c r="I151" s="5">
        <v>592859.57653951424</v>
      </c>
      <c r="J151" s="5">
        <v>592279.57653951424</v>
      </c>
      <c r="K151" s="5">
        <v>11</v>
      </c>
      <c r="L151" s="5">
        <v>6496580</v>
      </c>
    </row>
    <row r="152" spans="1:12" ht="17.25" outlineLevel="1" x14ac:dyDescent="0.3">
      <c r="A152" s="68">
        <v>151</v>
      </c>
      <c r="B152" s="69">
        <v>2300000</v>
      </c>
      <c r="C152" s="68">
        <v>81</v>
      </c>
      <c r="D152" s="68" t="s">
        <v>31</v>
      </c>
      <c r="E152" s="68" t="s">
        <v>24</v>
      </c>
      <c r="F152" s="68" t="s">
        <v>36</v>
      </c>
      <c r="G152" s="5">
        <v>166037</v>
      </c>
      <c r="H152" s="5">
        <v>221382.66666666666</v>
      </c>
      <c r="I152" s="5">
        <v>23994.362869021737</v>
      </c>
      <c r="J152" s="5">
        <v>23414.362869021737</v>
      </c>
      <c r="K152" s="5">
        <v>11</v>
      </c>
      <c r="L152" s="5">
        <v>257383.89333333331</v>
      </c>
    </row>
    <row r="153" spans="1:12" ht="17.25" outlineLevel="1" x14ac:dyDescent="0.3">
      <c r="A153" s="68">
        <v>152</v>
      </c>
      <c r="B153" s="69">
        <v>5000000</v>
      </c>
      <c r="C153" s="68">
        <v>99</v>
      </c>
      <c r="D153" s="68" t="s">
        <v>37</v>
      </c>
      <c r="E153" s="68" t="s">
        <v>24</v>
      </c>
      <c r="F153" s="68" t="s">
        <v>36</v>
      </c>
      <c r="G153" s="5">
        <v>1019185</v>
      </c>
      <c r="H153" s="5">
        <v>1358913.3333333333</v>
      </c>
      <c r="I153" s="5">
        <v>144304.39528938686</v>
      </c>
      <c r="J153" s="5">
        <v>143724.39528938686</v>
      </c>
      <c r="K153" s="5">
        <v>11</v>
      </c>
      <c r="L153" s="5">
        <v>1576919.4666666666</v>
      </c>
    </row>
    <row r="154" spans="1:12" ht="17.25" outlineLevel="1" x14ac:dyDescent="0.3">
      <c r="A154" s="68">
        <v>153</v>
      </c>
      <c r="B154" s="69">
        <v>9300000</v>
      </c>
      <c r="C154" s="68">
        <v>70</v>
      </c>
      <c r="D154" s="68" t="s">
        <v>37</v>
      </c>
      <c r="E154" s="68" t="s">
        <v>24</v>
      </c>
      <c r="F154" s="68" t="s">
        <v>38</v>
      </c>
      <c r="G154" s="5">
        <v>267133.2</v>
      </c>
      <c r="H154" s="5">
        <v>356177.60000000003</v>
      </c>
      <c r="I154" s="5">
        <v>113024.53305003316</v>
      </c>
      <c r="J154" s="5">
        <v>112444.53305003316</v>
      </c>
      <c r="K154" s="5">
        <v>3</v>
      </c>
      <c r="L154" s="5">
        <v>413746.016</v>
      </c>
    </row>
    <row r="155" spans="1:12" ht="17.25" outlineLevel="1" x14ac:dyDescent="0.3">
      <c r="A155" s="68">
        <v>154</v>
      </c>
      <c r="B155" s="69">
        <v>5000000</v>
      </c>
      <c r="C155" s="68">
        <v>27</v>
      </c>
      <c r="D155" s="68" t="s">
        <v>37</v>
      </c>
      <c r="E155" s="68" t="s">
        <v>24</v>
      </c>
      <c r="F155" s="68" t="s">
        <v>53</v>
      </c>
      <c r="G155" s="5">
        <v>6035</v>
      </c>
      <c r="H155" s="5">
        <v>8046.666666666667</v>
      </c>
      <c r="I155" s="5">
        <v>10748.558182666648</v>
      </c>
      <c r="K155" s="5">
        <v>0</v>
      </c>
      <c r="L155" s="5">
        <v>9914.1333333333332</v>
      </c>
    </row>
    <row r="156" spans="1:12" ht="17.25" outlineLevel="1" x14ac:dyDescent="0.3">
      <c r="A156" s="68">
        <v>155</v>
      </c>
      <c r="B156" s="69">
        <v>1600000</v>
      </c>
      <c r="C156" s="68">
        <v>45</v>
      </c>
      <c r="D156" s="68" t="s">
        <v>31</v>
      </c>
      <c r="E156" s="68" t="s">
        <v>24</v>
      </c>
      <c r="F156" s="68" t="s">
        <v>53</v>
      </c>
      <c r="G156" s="5">
        <v>8507.1999999999989</v>
      </c>
      <c r="H156" s="5">
        <v>11342.933333333332</v>
      </c>
      <c r="I156" s="5">
        <v>14914.044436053306</v>
      </c>
      <c r="K156" s="5">
        <v>0</v>
      </c>
      <c r="L156" s="5">
        <v>13737.802666666665</v>
      </c>
    </row>
    <row r="157" spans="1:12" ht="17.25" outlineLevel="1" x14ac:dyDescent="0.3">
      <c r="A157" s="68">
        <v>156</v>
      </c>
      <c r="B157" s="69">
        <v>8900000</v>
      </c>
      <c r="C157" s="68">
        <v>62</v>
      </c>
      <c r="D157" s="68" t="s">
        <v>37</v>
      </c>
      <c r="E157" s="68" t="s">
        <v>24</v>
      </c>
      <c r="F157" s="68" t="s">
        <v>30</v>
      </c>
      <c r="G157" s="5">
        <v>142827.20000000001</v>
      </c>
      <c r="H157" s="5">
        <v>190436.26666666669</v>
      </c>
      <c r="I157" s="5">
        <v>121864.0483415912</v>
      </c>
      <c r="J157" s="5">
        <v>121284.0483415912</v>
      </c>
      <c r="K157" s="5">
        <v>1</v>
      </c>
      <c r="L157" s="5">
        <v>221486.06933333335</v>
      </c>
    </row>
    <row r="158" spans="1:12" ht="17.25" outlineLevel="1" x14ac:dyDescent="0.3">
      <c r="A158" s="68">
        <v>157</v>
      </c>
      <c r="B158" s="69">
        <v>1600000</v>
      </c>
      <c r="C158" s="68">
        <v>10</v>
      </c>
      <c r="D158" s="68" t="s">
        <v>31</v>
      </c>
      <c r="E158" s="68" t="s">
        <v>24</v>
      </c>
      <c r="F158" s="68" t="s">
        <v>30</v>
      </c>
      <c r="G158" s="5">
        <v>633.59999999999991</v>
      </c>
      <c r="H158" s="5">
        <v>844.79999999999984</v>
      </c>
      <c r="I158" s="5">
        <v>1118.031782666272</v>
      </c>
      <c r="J158" s="5">
        <v>538.03178266627197</v>
      </c>
      <c r="K158" s="5">
        <v>1</v>
      </c>
      <c r="L158" s="5">
        <v>1559.9679999999996</v>
      </c>
    </row>
    <row r="159" spans="1:12" ht="17.25" outlineLevel="1" x14ac:dyDescent="0.3">
      <c r="A159" s="68">
        <v>158</v>
      </c>
      <c r="B159" s="69">
        <v>6200000</v>
      </c>
      <c r="C159" s="68">
        <v>86</v>
      </c>
      <c r="D159" s="68" t="s">
        <v>31</v>
      </c>
      <c r="E159" s="68" t="s">
        <v>24</v>
      </c>
      <c r="F159" s="68" t="s">
        <v>52</v>
      </c>
      <c r="G159" s="5">
        <v>628903.19999999995</v>
      </c>
      <c r="H159" s="5">
        <v>838537.6</v>
      </c>
      <c r="I159" s="5">
        <v>177114.76564206285</v>
      </c>
      <c r="J159" s="5">
        <v>176534.76564206285</v>
      </c>
      <c r="K159" s="5">
        <v>5</v>
      </c>
      <c r="L159" s="5">
        <v>973283.61599999992</v>
      </c>
    </row>
    <row r="160" spans="1:12" ht="17.25" outlineLevel="1" x14ac:dyDescent="0.3">
      <c r="A160" s="68">
        <v>159</v>
      </c>
      <c r="B160" s="69">
        <v>6400000</v>
      </c>
      <c r="C160" s="68">
        <v>49</v>
      </c>
      <c r="D160" s="68" t="s">
        <v>37</v>
      </c>
      <c r="E160" s="68" t="s">
        <v>24</v>
      </c>
      <c r="F160" s="68" t="s">
        <v>52</v>
      </c>
      <c r="G160" s="5">
        <v>39449.599999999999</v>
      </c>
      <c r="H160" s="5">
        <v>52599.466666666667</v>
      </c>
      <c r="I160" s="5">
        <v>11653.605430331922</v>
      </c>
      <c r="J160" s="5">
        <v>11073.605430331922</v>
      </c>
      <c r="K160" s="5">
        <v>5</v>
      </c>
      <c r="L160" s="5">
        <v>61595.381333333331</v>
      </c>
    </row>
    <row r="161" spans="1:12" ht="17.25" outlineLevel="1" x14ac:dyDescent="0.3">
      <c r="A161" s="68">
        <v>160</v>
      </c>
      <c r="B161" s="69">
        <v>8200000</v>
      </c>
      <c r="C161" s="68">
        <v>21</v>
      </c>
      <c r="D161" s="68" t="s">
        <v>37</v>
      </c>
      <c r="E161" s="68" t="s">
        <v>24</v>
      </c>
      <c r="F161" s="68" t="s">
        <v>38</v>
      </c>
      <c r="G161" s="5">
        <v>6338.6</v>
      </c>
      <c r="H161" s="5">
        <v>8451.4666666666672</v>
      </c>
      <c r="I161" s="5">
        <v>3248.1105800063046</v>
      </c>
      <c r="J161" s="5">
        <v>2668.1105800063046</v>
      </c>
      <c r="K161" s="5">
        <v>3</v>
      </c>
      <c r="L161" s="5">
        <v>10383.701333333333</v>
      </c>
    </row>
    <row r="162" spans="1:12" ht="17.25" outlineLevel="1" x14ac:dyDescent="0.3">
      <c r="A162" s="68">
        <v>161</v>
      </c>
      <c r="B162" s="69">
        <v>1100000</v>
      </c>
      <c r="C162" s="68">
        <v>63</v>
      </c>
      <c r="D162" s="68" t="s">
        <v>37</v>
      </c>
      <c r="E162" s="68" t="s">
        <v>24</v>
      </c>
      <c r="F162" s="68" t="s">
        <v>30</v>
      </c>
      <c r="G162" s="5">
        <v>18991.5</v>
      </c>
      <c r="H162" s="5">
        <v>25322</v>
      </c>
      <c r="I162" s="5">
        <v>16706.942235647894</v>
      </c>
      <c r="J162" s="5">
        <v>16126.942235647894</v>
      </c>
      <c r="K162" s="5">
        <v>1</v>
      </c>
      <c r="L162" s="5">
        <v>29953.519999999997</v>
      </c>
    </row>
    <row r="163" spans="1:12" ht="17.25" outlineLevel="1" x14ac:dyDescent="0.3">
      <c r="A163" s="68">
        <v>162</v>
      </c>
      <c r="B163" s="69">
        <v>3900000</v>
      </c>
      <c r="C163" s="68">
        <v>50</v>
      </c>
      <c r="D163" s="68" t="s">
        <v>31</v>
      </c>
      <c r="E163" s="68" t="s">
        <v>24</v>
      </c>
      <c r="F163" s="68" t="s">
        <v>30</v>
      </c>
      <c r="G163" s="5">
        <v>30002.7</v>
      </c>
      <c r="H163" s="5">
        <v>40003.599999999999</v>
      </c>
      <c r="I163" s="5">
        <v>26057.282458651138</v>
      </c>
      <c r="J163" s="5">
        <v>25477.282458651138</v>
      </c>
      <c r="K163" s="5">
        <v>1</v>
      </c>
      <c r="L163" s="5">
        <v>46984.175999999992</v>
      </c>
    </row>
    <row r="164" spans="1:12" ht="17.25" outlineLevel="1" x14ac:dyDescent="0.3">
      <c r="A164" s="68">
        <v>163</v>
      </c>
      <c r="B164" s="69">
        <v>5900000</v>
      </c>
      <c r="C164" s="68">
        <v>84</v>
      </c>
      <c r="D164" s="68" t="s">
        <v>37</v>
      </c>
      <c r="E164" s="68" t="s">
        <v>24</v>
      </c>
      <c r="F164" s="68" t="s">
        <v>52</v>
      </c>
      <c r="G164" s="5">
        <v>456288.30000000005</v>
      </c>
      <c r="H164" s="5">
        <v>608384.4</v>
      </c>
      <c r="I164" s="5">
        <v>128661.31379473864</v>
      </c>
      <c r="J164" s="5">
        <v>128081.31379473864</v>
      </c>
      <c r="K164" s="5">
        <v>5</v>
      </c>
      <c r="L164" s="5">
        <v>706305.90399999998</v>
      </c>
    </row>
    <row r="165" spans="1:12" ht="17.25" outlineLevel="1" x14ac:dyDescent="0.3">
      <c r="A165" s="68">
        <v>164</v>
      </c>
      <c r="B165" s="69">
        <v>7300000</v>
      </c>
      <c r="C165" s="68">
        <v>77</v>
      </c>
      <c r="D165" s="68" t="s">
        <v>31</v>
      </c>
      <c r="E165" s="68" t="s">
        <v>24</v>
      </c>
      <c r="F165" s="68" t="s">
        <v>36</v>
      </c>
      <c r="G165" s="5">
        <v>398718.7</v>
      </c>
      <c r="H165" s="5">
        <v>531624.93333333335</v>
      </c>
      <c r="I165" s="5">
        <v>56806.891141520377</v>
      </c>
      <c r="J165" s="5">
        <v>56226.891141520377</v>
      </c>
      <c r="K165" s="5">
        <v>11</v>
      </c>
      <c r="L165" s="5">
        <v>617264.92266666668</v>
      </c>
    </row>
    <row r="166" spans="1:12" ht="17.25" outlineLevel="1" x14ac:dyDescent="0.3">
      <c r="A166" s="68">
        <v>165</v>
      </c>
      <c r="B166" s="69">
        <v>2800000</v>
      </c>
      <c r="C166" s="68">
        <v>67</v>
      </c>
      <c r="D166" s="68" t="s">
        <v>31</v>
      </c>
      <c r="E166" s="68" t="s">
        <v>24</v>
      </c>
      <c r="F166" s="68" t="s">
        <v>30</v>
      </c>
      <c r="G166" s="5">
        <v>74816</v>
      </c>
      <c r="H166" s="5">
        <v>99754.666666666672</v>
      </c>
      <c r="I166" s="5">
        <v>64111.227670391119</v>
      </c>
      <c r="J166" s="5">
        <v>63531.227670391119</v>
      </c>
      <c r="K166" s="5">
        <v>1</v>
      </c>
      <c r="L166" s="5">
        <v>116295.41333333333</v>
      </c>
    </row>
    <row r="167" spans="1:12" ht="17.25" outlineLevel="1" x14ac:dyDescent="0.3">
      <c r="A167" s="68">
        <v>166</v>
      </c>
      <c r="B167" s="69">
        <v>9300000</v>
      </c>
      <c r="C167" s="68">
        <v>33</v>
      </c>
      <c r="D167" s="68" t="s">
        <v>31</v>
      </c>
      <c r="E167" s="68" t="s">
        <v>24</v>
      </c>
      <c r="F167" s="68" t="s">
        <v>30</v>
      </c>
      <c r="G167" s="5">
        <v>20329.8</v>
      </c>
      <c r="H167" s="5">
        <v>27106.399999999998</v>
      </c>
      <c r="I167" s="5">
        <v>17843.381526592133</v>
      </c>
      <c r="J167" s="5">
        <v>17263.381526592133</v>
      </c>
      <c r="K167" s="5">
        <v>1</v>
      </c>
      <c r="L167" s="5">
        <v>32023.423999999995</v>
      </c>
    </row>
    <row r="168" spans="1:12" ht="17.25" outlineLevel="1" x14ac:dyDescent="0.3">
      <c r="A168" s="68">
        <v>167</v>
      </c>
      <c r="B168" s="69">
        <v>7200000</v>
      </c>
      <c r="C168" s="68">
        <v>17</v>
      </c>
      <c r="D168" s="68" t="s">
        <v>37</v>
      </c>
      <c r="E168" s="68" t="s">
        <v>24</v>
      </c>
      <c r="F168" s="68" t="s">
        <v>30</v>
      </c>
      <c r="G168" s="5">
        <v>4140</v>
      </c>
      <c r="H168" s="5">
        <v>5520</v>
      </c>
      <c r="I168" s="5">
        <v>4095.548579921664</v>
      </c>
      <c r="J168" s="5">
        <v>3515.548579921664</v>
      </c>
      <c r="K168" s="5">
        <v>1</v>
      </c>
      <c r="L168" s="5">
        <v>6983.2</v>
      </c>
    </row>
    <row r="169" spans="1:12" ht="17.25" outlineLevel="1" x14ac:dyDescent="0.3">
      <c r="A169" s="68">
        <v>168</v>
      </c>
      <c r="B169" s="69">
        <v>6200000</v>
      </c>
      <c r="C169" s="68">
        <v>19</v>
      </c>
      <c r="D169" s="68" t="s">
        <v>31</v>
      </c>
      <c r="E169" s="68" t="s">
        <v>24</v>
      </c>
      <c r="F169" s="68" t="s">
        <v>52</v>
      </c>
      <c r="G169" s="5">
        <v>4792.6000000000004</v>
      </c>
      <c r="H169" s="5">
        <v>6390.1333333333341</v>
      </c>
      <c r="I169" s="5">
        <v>1925.2952979348024</v>
      </c>
      <c r="J169" s="5">
        <v>1345.2952979348024</v>
      </c>
      <c r="K169" s="5">
        <v>5</v>
      </c>
      <c r="L169" s="5">
        <v>7992.5546666666669</v>
      </c>
    </row>
    <row r="170" spans="1:12" ht="17.25" outlineLevel="1" x14ac:dyDescent="0.3">
      <c r="A170" s="68">
        <v>169</v>
      </c>
      <c r="B170" s="69">
        <v>8900000</v>
      </c>
      <c r="C170" s="68">
        <v>76</v>
      </c>
      <c r="D170" s="68" t="s">
        <v>37</v>
      </c>
      <c r="E170" s="68" t="s">
        <v>24</v>
      </c>
      <c r="F170" s="68" t="s">
        <v>30</v>
      </c>
      <c r="G170" s="5">
        <v>393148.6</v>
      </c>
      <c r="H170" s="5">
        <v>524198.1333333333</v>
      </c>
      <c r="I170" s="5">
        <v>334428.55131115706</v>
      </c>
      <c r="J170" s="5">
        <v>333848.55131115706</v>
      </c>
      <c r="K170" s="5">
        <v>1</v>
      </c>
      <c r="L170" s="5">
        <v>608649.83466666657</v>
      </c>
    </row>
    <row r="171" spans="1:12" ht="17.25" outlineLevel="1" x14ac:dyDescent="0.3">
      <c r="A171" s="68">
        <v>170</v>
      </c>
      <c r="B171" s="69">
        <v>8800000</v>
      </c>
      <c r="C171" s="68">
        <v>11</v>
      </c>
      <c r="D171" s="68" t="s">
        <v>31</v>
      </c>
      <c r="E171" s="68" t="s">
        <v>24</v>
      </c>
      <c r="F171" s="68" t="s">
        <v>38</v>
      </c>
      <c r="G171" s="5">
        <v>3757.6000000000004</v>
      </c>
      <c r="H171" s="5">
        <v>5010.1333333333341</v>
      </c>
      <c r="I171" s="5">
        <v>2161.6887507386004</v>
      </c>
      <c r="J171" s="5">
        <v>1581.6887507386002</v>
      </c>
      <c r="K171" s="5">
        <v>3</v>
      </c>
      <c r="L171" s="5">
        <v>6391.7546666666667</v>
      </c>
    </row>
    <row r="172" spans="1:12" ht="17.25" outlineLevel="1" x14ac:dyDescent="0.3">
      <c r="A172" s="68">
        <v>171</v>
      </c>
      <c r="B172" s="69">
        <v>9500000</v>
      </c>
      <c r="C172" s="68">
        <v>93</v>
      </c>
      <c r="D172" s="68" t="s">
        <v>37</v>
      </c>
      <c r="E172" s="68" t="s">
        <v>24</v>
      </c>
      <c r="F172" s="68" t="s">
        <v>53</v>
      </c>
      <c r="G172" s="5">
        <v>1337001.5</v>
      </c>
      <c r="H172" s="5">
        <v>1782668.6666666667</v>
      </c>
      <c r="I172" s="5">
        <v>2253335.1852630624</v>
      </c>
      <c r="K172" s="5">
        <v>0</v>
      </c>
      <c r="L172" s="5">
        <v>2068475.6533333333</v>
      </c>
    </row>
    <row r="173" spans="1:12" ht="17.25" outlineLevel="1" x14ac:dyDescent="0.3">
      <c r="A173" s="68">
        <v>172</v>
      </c>
      <c r="B173" s="69">
        <v>2700000</v>
      </c>
      <c r="C173" s="68">
        <v>21</v>
      </c>
      <c r="D173" s="68" t="s">
        <v>31</v>
      </c>
      <c r="E173" s="68" t="s">
        <v>24</v>
      </c>
      <c r="F173" s="68" t="s">
        <v>36</v>
      </c>
      <c r="G173" s="5">
        <v>2421.9</v>
      </c>
      <c r="H173" s="5">
        <v>3229.2000000000003</v>
      </c>
      <c r="I173" s="5">
        <v>921.53378724310699</v>
      </c>
      <c r="J173" s="5">
        <v>341.53378724310699</v>
      </c>
      <c r="K173" s="5">
        <v>11</v>
      </c>
      <c r="L173" s="5">
        <v>4325.8720000000003</v>
      </c>
    </row>
    <row r="174" spans="1:12" ht="17.25" outlineLevel="1" x14ac:dyDescent="0.3">
      <c r="A174" s="68">
        <v>173</v>
      </c>
      <c r="B174" s="69">
        <v>8200000</v>
      </c>
      <c r="C174" s="68">
        <v>47</v>
      </c>
      <c r="D174" s="68" t="s">
        <v>31</v>
      </c>
      <c r="E174" s="68" t="s">
        <v>24</v>
      </c>
      <c r="F174" s="68" t="s">
        <v>36</v>
      </c>
      <c r="G174" s="5">
        <v>50544.800000000003</v>
      </c>
      <c r="H174" s="5">
        <v>67393.066666666666</v>
      </c>
      <c r="I174" s="5">
        <v>7707.7744619701043</v>
      </c>
      <c r="J174" s="5">
        <v>7127.7744619701043</v>
      </c>
      <c r="K174" s="5">
        <v>11</v>
      </c>
      <c r="L174" s="5">
        <v>78755.957333333325</v>
      </c>
    </row>
    <row r="175" spans="1:12" ht="17.25" outlineLevel="1" x14ac:dyDescent="0.3">
      <c r="A175" s="68">
        <v>174</v>
      </c>
      <c r="B175" s="69">
        <v>8000000</v>
      </c>
      <c r="C175" s="68">
        <v>56</v>
      </c>
      <c r="D175" s="68" t="s">
        <v>37</v>
      </c>
      <c r="E175" s="68" t="s">
        <v>24</v>
      </c>
      <c r="F175" s="68" t="s">
        <v>36</v>
      </c>
      <c r="G175" s="5">
        <v>82640</v>
      </c>
      <c r="H175" s="5">
        <v>110186.66666666667</v>
      </c>
      <c r="I175" s="5">
        <v>12233.805763148917</v>
      </c>
      <c r="J175" s="5">
        <v>11653.805763148917</v>
      </c>
      <c r="K175" s="5">
        <v>11</v>
      </c>
      <c r="L175" s="5">
        <v>128396.53333333333</v>
      </c>
    </row>
    <row r="176" spans="1:12" ht="17.25" outlineLevel="1" x14ac:dyDescent="0.3">
      <c r="A176" s="68">
        <v>175</v>
      </c>
      <c r="B176" s="69">
        <v>9800000</v>
      </c>
      <c r="C176" s="68">
        <v>76</v>
      </c>
      <c r="D176" s="68" t="s">
        <v>37</v>
      </c>
      <c r="E176" s="68" t="s">
        <v>24</v>
      </c>
      <c r="F176" s="68" t="s">
        <v>30</v>
      </c>
      <c r="G176" s="5">
        <v>432905.19999999995</v>
      </c>
      <c r="H176" s="5">
        <v>577206.93333333323</v>
      </c>
      <c r="I176" s="5">
        <v>368188.51717408304</v>
      </c>
      <c r="J176" s="5">
        <v>367608.51717408304</v>
      </c>
      <c r="K176" s="5">
        <v>1</v>
      </c>
      <c r="L176" s="5">
        <v>670140.04266666656</v>
      </c>
    </row>
    <row r="177" spans="1:12" ht="17.25" outlineLevel="1" x14ac:dyDescent="0.3">
      <c r="A177" s="68">
        <v>176</v>
      </c>
      <c r="B177" s="69">
        <v>4100000</v>
      </c>
      <c r="C177" s="68">
        <v>83</v>
      </c>
      <c r="D177" s="68" t="s">
        <v>37</v>
      </c>
      <c r="E177" s="68" t="s">
        <v>24</v>
      </c>
      <c r="F177" s="68" t="s">
        <v>38</v>
      </c>
      <c r="G177" s="5">
        <v>295979</v>
      </c>
      <c r="H177" s="5">
        <v>394638.66666666669</v>
      </c>
      <c r="I177" s="5">
        <v>125166.61240016503</v>
      </c>
      <c r="J177" s="5">
        <v>124586.61240016503</v>
      </c>
      <c r="K177" s="5">
        <v>3</v>
      </c>
      <c r="L177" s="5">
        <v>458360.85333333333</v>
      </c>
    </row>
    <row r="178" spans="1:12" ht="17.25" outlineLevel="1" x14ac:dyDescent="0.3">
      <c r="A178" s="68">
        <v>177</v>
      </c>
      <c r="B178" s="69">
        <v>7500000</v>
      </c>
      <c r="C178" s="68">
        <v>33</v>
      </c>
      <c r="D178" s="68" t="s">
        <v>31</v>
      </c>
      <c r="E178" s="68" t="s">
        <v>24</v>
      </c>
      <c r="F178" s="68" t="s">
        <v>38</v>
      </c>
      <c r="G178" s="5">
        <v>16395</v>
      </c>
      <c r="H178" s="5">
        <v>21860</v>
      </c>
      <c r="I178" s="5">
        <v>7481.1568736319323</v>
      </c>
      <c r="J178" s="5">
        <v>6901.1568736319323</v>
      </c>
      <c r="K178" s="5">
        <v>3</v>
      </c>
      <c r="L178" s="5">
        <v>25937.599999999999</v>
      </c>
    </row>
    <row r="179" spans="1:12" ht="17.25" outlineLevel="1" x14ac:dyDescent="0.3">
      <c r="A179" s="68">
        <v>178</v>
      </c>
      <c r="B179" s="69">
        <v>6100000</v>
      </c>
      <c r="C179" s="68">
        <v>40</v>
      </c>
      <c r="D179" s="68" t="s">
        <v>37</v>
      </c>
      <c r="E179" s="68" t="s">
        <v>24</v>
      </c>
      <c r="F179" s="68" t="s">
        <v>52</v>
      </c>
      <c r="G179" s="5">
        <v>19312.599999999999</v>
      </c>
      <c r="H179" s="5">
        <v>25750.133333333331</v>
      </c>
      <c r="I179" s="5">
        <v>6001.0971019687977</v>
      </c>
      <c r="J179" s="5">
        <v>5421.0971019687977</v>
      </c>
      <c r="K179" s="5">
        <v>5</v>
      </c>
      <c r="L179" s="5">
        <v>30450.154666666662</v>
      </c>
    </row>
    <row r="180" spans="1:12" ht="17.25" outlineLevel="1" x14ac:dyDescent="0.3">
      <c r="A180" s="68">
        <v>179</v>
      </c>
      <c r="B180" s="69">
        <v>9100000</v>
      </c>
      <c r="C180" s="68">
        <v>91</v>
      </c>
      <c r="D180" s="68" t="s">
        <v>31</v>
      </c>
      <c r="E180" s="68" t="s">
        <v>24</v>
      </c>
      <c r="F180" s="68" t="s">
        <v>53</v>
      </c>
      <c r="G180" s="5">
        <v>1280706.7</v>
      </c>
      <c r="H180" s="5">
        <v>1707608.9333333333</v>
      </c>
      <c r="I180" s="5">
        <v>2158482.3353572492</v>
      </c>
      <c r="K180" s="5">
        <v>0</v>
      </c>
      <c r="L180" s="5">
        <v>1981406.3626666665</v>
      </c>
    </row>
    <row r="181" spans="1:12" ht="17.25" outlineLevel="1" x14ac:dyDescent="0.3">
      <c r="A181" s="68">
        <v>180</v>
      </c>
      <c r="B181" s="69">
        <v>4600000</v>
      </c>
      <c r="C181" s="68">
        <v>70</v>
      </c>
      <c r="D181" s="68" t="s">
        <v>37</v>
      </c>
      <c r="E181" s="68" t="s">
        <v>24</v>
      </c>
      <c r="F181" s="68" t="s">
        <v>38</v>
      </c>
      <c r="G181" s="5">
        <v>132130.4</v>
      </c>
      <c r="H181" s="5">
        <v>176173.86666666667</v>
      </c>
      <c r="I181" s="5">
        <v>56197.726024747579</v>
      </c>
      <c r="J181" s="5">
        <v>55617.726024747579</v>
      </c>
      <c r="K181" s="5">
        <v>3</v>
      </c>
      <c r="L181" s="5">
        <v>204941.68533333333</v>
      </c>
    </row>
    <row r="182" spans="1:12" ht="17.25" outlineLevel="1" x14ac:dyDescent="0.3">
      <c r="A182" s="68">
        <v>181</v>
      </c>
      <c r="B182" s="69">
        <v>3700000</v>
      </c>
      <c r="C182" s="68">
        <v>49</v>
      </c>
      <c r="D182" s="68" t="s">
        <v>31</v>
      </c>
      <c r="E182" s="68" t="s">
        <v>24</v>
      </c>
      <c r="F182" s="68" t="s">
        <v>52</v>
      </c>
      <c r="G182" s="5">
        <v>26436.5</v>
      </c>
      <c r="H182" s="5">
        <v>35248.666666666664</v>
      </c>
      <c r="I182" s="5">
        <v>8000.794379638065</v>
      </c>
      <c r="J182" s="5">
        <v>7420.794379638065</v>
      </c>
      <c r="K182" s="5">
        <v>5</v>
      </c>
      <c r="L182" s="5">
        <v>41468.453333333331</v>
      </c>
    </row>
    <row r="183" spans="1:12" ht="17.25" outlineLevel="1" x14ac:dyDescent="0.3">
      <c r="A183" s="68">
        <v>182</v>
      </c>
      <c r="B183" s="69">
        <v>6800000</v>
      </c>
      <c r="C183" s="68">
        <v>11</v>
      </c>
      <c r="D183" s="68" t="s">
        <v>37</v>
      </c>
      <c r="E183" s="68" t="s">
        <v>24</v>
      </c>
      <c r="F183" s="68" t="s">
        <v>52</v>
      </c>
      <c r="G183" s="5">
        <v>48586</v>
      </c>
      <c r="H183" s="5">
        <v>64781.333333333336</v>
      </c>
      <c r="I183" s="5">
        <v>14218.216697713202</v>
      </c>
      <c r="J183" s="5">
        <v>13638.216697713202</v>
      </c>
      <c r="K183" s="5">
        <v>5</v>
      </c>
      <c r="L183" s="5">
        <v>75726.346666666665</v>
      </c>
    </row>
    <row r="184" spans="1:12" ht="17.25" outlineLevel="1" x14ac:dyDescent="0.3">
      <c r="A184" s="68">
        <v>183</v>
      </c>
      <c r="B184" s="69">
        <v>9900000</v>
      </c>
      <c r="C184" s="68">
        <v>42</v>
      </c>
      <c r="D184" s="68" t="s">
        <v>37</v>
      </c>
      <c r="E184" s="68" t="s">
        <v>24</v>
      </c>
      <c r="F184" s="68" t="s">
        <v>53</v>
      </c>
      <c r="G184" s="5">
        <v>36352.799999999996</v>
      </c>
      <c r="H184" s="5">
        <v>48470.399999999994</v>
      </c>
      <c r="I184" s="5">
        <v>61831.957233279878</v>
      </c>
      <c r="K184" s="5">
        <v>0</v>
      </c>
      <c r="L184" s="5">
        <v>56805.66399999999</v>
      </c>
    </row>
    <row r="185" spans="1:12" ht="17.25" outlineLevel="1" x14ac:dyDescent="0.3">
      <c r="A185" s="68">
        <v>184</v>
      </c>
      <c r="B185" s="69">
        <v>5200000</v>
      </c>
      <c r="C185" s="68">
        <v>105</v>
      </c>
      <c r="D185" s="68" t="s">
        <v>37</v>
      </c>
      <c r="E185" s="68" t="s">
        <v>24</v>
      </c>
      <c r="F185" s="68" t="s">
        <v>52</v>
      </c>
      <c r="G185" s="5">
        <v>19094.399999999998</v>
      </c>
      <c r="H185" s="5">
        <v>25459.199999999997</v>
      </c>
      <c r="I185" s="5">
        <v>5939.8477938668539</v>
      </c>
      <c r="J185" s="5">
        <v>5359.8477938668539</v>
      </c>
      <c r="K185" s="5">
        <v>5</v>
      </c>
      <c r="L185" s="5">
        <v>30112.671999999995</v>
      </c>
    </row>
    <row r="186" spans="1:12" ht="17.25" outlineLevel="1" x14ac:dyDescent="0.3">
      <c r="A186" s="68">
        <v>185</v>
      </c>
      <c r="B186" s="69">
        <v>5100000</v>
      </c>
      <c r="C186" s="68">
        <v>28</v>
      </c>
      <c r="D186" s="68" t="s">
        <v>31</v>
      </c>
      <c r="E186" s="68" t="s">
        <v>24</v>
      </c>
      <c r="F186" s="68" t="s">
        <v>53</v>
      </c>
      <c r="G186" s="5">
        <v>7690.8</v>
      </c>
      <c r="H186" s="5">
        <v>10254.4</v>
      </c>
      <c r="I186" s="5">
        <v>13538.466822079978</v>
      </c>
      <c r="K186" s="5">
        <v>0</v>
      </c>
      <c r="L186" s="5">
        <v>12475.103999999999</v>
      </c>
    </row>
    <row r="187" spans="1:12" ht="17.25" outlineLevel="1" x14ac:dyDescent="0.3">
      <c r="A187" s="68">
        <v>186</v>
      </c>
      <c r="B187" s="69">
        <v>4600000</v>
      </c>
      <c r="C187" s="68">
        <v>55</v>
      </c>
      <c r="D187" s="68" t="s">
        <v>37</v>
      </c>
      <c r="E187" s="68" t="s">
        <v>24</v>
      </c>
      <c r="F187" s="68" t="s">
        <v>52</v>
      </c>
      <c r="G187" s="5">
        <v>44146.2</v>
      </c>
      <c r="H187" s="5">
        <v>58861.599999999999</v>
      </c>
      <c r="I187" s="5">
        <v>12971.953278322699</v>
      </c>
      <c r="J187" s="5">
        <v>12391.953278322699</v>
      </c>
      <c r="K187" s="5">
        <v>5</v>
      </c>
      <c r="L187" s="5">
        <v>68859.455999999991</v>
      </c>
    </row>
    <row r="188" spans="1:12" ht="17.25" outlineLevel="1" x14ac:dyDescent="0.3">
      <c r="A188" s="68">
        <v>187</v>
      </c>
      <c r="B188" s="69">
        <v>8300000</v>
      </c>
      <c r="C188" s="68">
        <v>25</v>
      </c>
      <c r="D188" s="68" t="s">
        <v>31</v>
      </c>
      <c r="E188" s="68" t="s">
        <v>24</v>
      </c>
      <c r="F188" s="68" t="s">
        <v>30</v>
      </c>
      <c r="G188" s="5">
        <v>10018.1</v>
      </c>
      <c r="H188" s="5">
        <v>13357.466666666667</v>
      </c>
      <c r="I188" s="5">
        <v>9087.0331469838711</v>
      </c>
      <c r="J188" s="5">
        <v>8507.0331469838711</v>
      </c>
      <c r="K188" s="5">
        <v>1</v>
      </c>
      <c r="L188" s="5">
        <v>16074.661333333333</v>
      </c>
    </row>
    <row r="189" spans="1:12" ht="17.25" outlineLevel="1" x14ac:dyDescent="0.3">
      <c r="A189" s="68">
        <v>188</v>
      </c>
      <c r="B189" s="69">
        <v>8200000</v>
      </c>
      <c r="C189" s="68">
        <v>42</v>
      </c>
      <c r="D189" s="68" t="s">
        <v>31</v>
      </c>
      <c r="E189" s="68" t="s">
        <v>24</v>
      </c>
      <c r="F189" s="68" t="s">
        <v>36</v>
      </c>
      <c r="G189" s="5">
        <v>34915.599999999999</v>
      </c>
      <c r="H189" s="5">
        <v>46554.133333333331</v>
      </c>
      <c r="I189" s="5">
        <v>5503.7611387197758</v>
      </c>
      <c r="J189" s="5">
        <v>4923.7611387197758</v>
      </c>
      <c r="K189" s="5">
        <v>11</v>
      </c>
      <c r="L189" s="5">
        <v>54582.794666666661</v>
      </c>
    </row>
    <row r="190" spans="1:12" ht="17.25" outlineLevel="1" x14ac:dyDescent="0.3">
      <c r="A190" s="68">
        <v>189</v>
      </c>
      <c r="B190" s="69">
        <v>2800000</v>
      </c>
      <c r="C190" s="68">
        <v>87</v>
      </c>
      <c r="D190" s="68" t="s">
        <v>31</v>
      </c>
      <c r="E190" s="68" t="s">
        <v>24</v>
      </c>
      <c r="F190" s="68" t="s">
        <v>52</v>
      </c>
      <c r="G190" s="5">
        <v>303587.20000000001</v>
      </c>
      <c r="H190" s="5">
        <v>404782.93333333335</v>
      </c>
      <c r="I190" s="5">
        <v>85797.717454657686</v>
      </c>
      <c r="J190" s="5">
        <v>85217.717454657686</v>
      </c>
      <c r="K190" s="5">
        <v>5</v>
      </c>
      <c r="L190" s="5">
        <v>470128.20266666665</v>
      </c>
    </row>
    <row r="191" spans="1:12" ht="17.25" outlineLevel="1" x14ac:dyDescent="0.3">
      <c r="A191" s="68">
        <v>190</v>
      </c>
      <c r="B191" s="69">
        <v>6900000</v>
      </c>
      <c r="C191" s="68">
        <v>10</v>
      </c>
      <c r="D191" s="68" t="s">
        <v>37</v>
      </c>
      <c r="E191" s="68" t="s">
        <v>24</v>
      </c>
      <c r="F191" s="68" t="s">
        <v>30</v>
      </c>
      <c r="G191" s="5">
        <v>748125.60000000009</v>
      </c>
      <c r="H191" s="5">
        <v>997500.80000000016</v>
      </c>
      <c r="I191" s="5">
        <v>635863.06538237759</v>
      </c>
      <c r="J191" s="5">
        <v>635283.06538237759</v>
      </c>
      <c r="K191" s="5">
        <v>1</v>
      </c>
      <c r="L191" s="5">
        <v>1157680.9280000001</v>
      </c>
    </row>
    <row r="192" spans="1:12" ht="17.25" outlineLevel="1" x14ac:dyDescent="0.3">
      <c r="A192" s="68">
        <v>191</v>
      </c>
      <c r="B192" s="69">
        <v>7400000</v>
      </c>
      <c r="C192" s="68">
        <v>21</v>
      </c>
      <c r="D192" s="68" t="s">
        <v>31</v>
      </c>
      <c r="E192" s="68" t="s">
        <v>24</v>
      </c>
      <c r="F192" s="68" t="s">
        <v>52</v>
      </c>
      <c r="G192" s="5">
        <v>6637.8</v>
      </c>
      <c r="H192" s="5">
        <v>8850.4</v>
      </c>
      <c r="I192" s="5">
        <v>2443.2477420672767</v>
      </c>
      <c r="J192" s="5">
        <v>1863.2477420672765</v>
      </c>
      <c r="K192" s="5">
        <v>5</v>
      </c>
      <c r="L192" s="5">
        <v>10846.463999999998</v>
      </c>
    </row>
    <row r="193" spans="1:12" ht="17.25" outlineLevel="1" x14ac:dyDescent="0.3">
      <c r="A193" s="68">
        <v>192</v>
      </c>
      <c r="B193" s="69">
        <v>1900000</v>
      </c>
      <c r="C193" s="68">
        <v>50</v>
      </c>
      <c r="D193" s="68" t="s">
        <v>31</v>
      </c>
      <c r="E193" s="68" t="s">
        <v>24</v>
      </c>
      <c r="F193" s="68" t="s">
        <v>53</v>
      </c>
      <c r="G193" s="5">
        <v>14616.7</v>
      </c>
      <c r="H193" s="5">
        <v>19488.933333333334</v>
      </c>
      <c r="I193" s="5">
        <v>25208.12997325329</v>
      </c>
      <c r="K193" s="5">
        <v>0</v>
      </c>
      <c r="L193" s="5">
        <v>23187.162666666667</v>
      </c>
    </row>
    <row r="194" spans="1:12" ht="17.25" outlineLevel="1" x14ac:dyDescent="0.3">
      <c r="A194" s="68">
        <v>193</v>
      </c>
      <c r="B194" s="69">
        <v>6900000</v>
      </c>
      <c r="C194" s="68">
        <v>17</v>
      </c>
      <c r="D194" s="68" t="s">
        <v>31</v>
      </c>
      <c r="E194" s="68" t="s">
        <v>24</v>
      </c>
      <c r="F194" s="68" t="s">
        <v>30</v>
      </c>
      <c r="G194" s="5">
        <v>4602.2999999999993</v>
      </c>
      <c r="H194" s="5">
        <v>6136.3999999999987</v>
      </c>
      <c r="I194" s="5">
        <v>4488.1181713462493</v>
      </c>
      <c r="J194" s="5">
        <v>3908.1181713462488</v>
      </c>
      <c r="K194" s="5">
        <v>1</v>
      </c>
      <c r="L194" s="5">
        <v>7698.2239999999983</v>
      </c>
    </row>
    <row r="195" spans="1:12" ht="17.25" outlineLevel="1" x14ac:dyDescent="0.3">
      <c r="A195" s="68">
        <v>194</v>
      </c>
      <c r="B195" s="69">
        <v>4800000</v>
      </c>
      <c r="C195" s="68">
        <v>76</v>
      </c>
      <c r="D195" s="68" t="s">
        <v>31</v>
      </c>
      <c r="E195" s="68" t="s">
        <v>24</v>
      </c>
      <c r="F195" s="68" t="s">
        <v>30</v>
      </c>
      <c r="G195" s="5">
        <v>244329.60000000001</v>
      </c>
      <c r="H195" s="5">
        <v>325772.79999999999</v>
      </c>
      <c r="I195" s="5">
        <v>208056.46819150436</v>
      </c>
      <c r="J195" s="5">
        <v>207476.46819150436</v>
      </c>
      <c r="K195" s="5">
        <v>1</v>
      </c>
      <c r="L195" s="5">
        <v>378476.44799999997</v>
      </c>
    </row>
    <row r="196" spans="1:12" ht="17.25" outlineLevel="1" x14ac:dyDescent="0.3">
      <c r="A196" s="68">
        <v>195</v>
      </c>
      <c r="B196" s="69">
        <v>4600000</v>
      </c>
      <c r="C196" s="68">
        <v>19</v>
      </c>
      <c r="D196" s="68" t="s">
        <v>31</v>
      </c>
      <c r="E196" s="68" t="s">
        <v>24</v>
      </c>
      <c r="F196" s="68" t="s">
        <v>53</v>
      </c>
      <c r="G196" s="5">
        <v>3555.8</v>
      </c>
      <c r="H196" s="5">
        <v>4741.0666666666666</v>
      </c>
      <c r="I196" s="5">
        <v>6571.2774127466555</v>
      </c>
      <c r="K196" s="5">
        <v>0</v>
      </c>
      <c r="L196" s="5">
        <v>6079.6373333333331</v>
      </c>
    </row>
    <row r="197" spans="1:12" ht="17.25" outlineLevel="1" x14ac:dyDescent="0.3">
      <c r="A197" s="68">
        <v>196</v>
      </c>
      <c r="B197" s="69">
        <v>6500000</v>
      </c>
      <c r="C197" s="68">
        <v>38</v>
      </c>
      <c r="D197" s="68" t="s">
        <v>37</v>
      </c>
      <c r="E197" s="68" t="s">
        <v>24</v>
      </c>
      <c r="F197" s="68" t="s">
        <v>30</v>
      </c>
      <c r="G197" s="5">
        <v>17745</v>
      </c>
      <c r="H197" s="5">
        <v>23660</v>
      </c>
      <c r="I197" s="5">
        <v>15648.456413214959</v>
      </c>
      <c r="J197" s="5">
        <v>15068.456413214959</v>
      </c>
      <c r="K197" s="5">
        <v>1</v>
      </c>
      <c r="L197" s="5">
        <v>28025.599999999999</v>
      </c>
    </row>
    <row r="198" spans="1:12" ht="17.25" outlineLevel="1" x14ac:dyDescent="0.3">
      <c r="A198" s="68">
        <v>197</v>
      </c>
      <c r="B198" s="69">
        <v>7200000</v>
      </c>
      <c r="C198" s="68">
        <v>10</v>
      </c>
      <c r="D198" s="68" t="s">
        <v>37</v>
      </c>
      <c r="E198" s="68" t="s">
        <v>24</v>
      </c>
      <c r="F198" s="68" t="s">
        <v>38</v>
      </c>
      <c r="G198" s="5">
        <v>19656</v>
      </c>
      <c r="H198" s="5">
        <v>26208</v>
      </c>
      <c r="I198" s="5">
        <v>8853.811497902363</v>
      </c>
      <c r="J198" s="5">
        <v>8273.811497902363</v>
      </c>
      <c r="K198" s="5">
        <v>3</v>
      </c>
      <c r="L198" s="5">
        <v>30981.279999999999</v>
      </c>
    </row>
    <row r="199" spans="1:12" ht="17.25" outlineLevel="1" x14ac:dyDescent="0.3">
      <c r="A199" s="68">
        <v>198</v>
      </c>
      <c r="B199" s="69">
        <v>3900000</v>
      </c>
      <c r="C199" s="68">
        <v>19</v>
      </c>
      <c r="D199" s="68" t="s">
        <v>31</v>
      </c>
      <c r="E199" s="68" t="s">
        <v>24</v>
      </c>
      <c r="F199" s="68" t="s">
        <v>30</v>
      </c>
      <c r="G199" s="5">
        <v>3014.7000000000003</v>
      </c>
      <c r="H199" s="5">
        <v>4019.6000000000004</v>
      </c>
      <c r="I199" s="5">
        <v>3139.9817159154204</v>
      </c>
      <c r="J199" s="5">
        <v>2559.9817159154204</v>
      </c>
      <c r="K199" s="5">
        <v>1</v>
      </c>
      <c r="L199" s="5">
        <v>5242.7359999999999</v>
      </c>
    </row>
    <row r="200" spans="1:12" ht="17.25" outlineLevel="1" x14ac:dyDescent="0.3">
      <c r="A200" s="68">
        <v>199</v>
      </c>
      <c r="B200" s="69">
        <v>5800000</v>
      </c>
      <c r="C200" s="68">
        <v>23</v>
      </c>
      <c r="D200" s="68" t="s">
        <v>31</v>
      </c>
      <c r="E200" s="68" t="s">
        <v>24</v>
      </c>
      <c r="F200" s="68" t="s">
        <v>52</v>
      </c>
      <c r="G200" s="5">
        <v>6037.8</v>
      </c>
      <c r="H200" s="5">
        <v>8050.4000000000005</v>
      </c>
      <c r="I200" s="5">
        <v>2274.8261799171119</v>
      </c>
      <c r="J200" s="5">
        <v>1694.8261799171119</v>
      </c>
      <c r="K200" s="5">
        <v>5</v>
      </c>
      <c r="L200" s="5">
        <v>9918.4640000000018</v>
      </c>
    </row>
    <row r="201" spans="1:12" ht="17.25" outlineLevel="1" x14ac:dyDescent="0.3">
      <c r="A201" s="68">
        <v>200</v>
      </c>
      <c r="B201" s="69">
        <v>3600000</v>
      </c>
      <c r="C201" s="68">
        <v>57</v>
      </c>
      <c r="D201" s="68" t="s">
        <v>31</v>
      </c>
      <c r="E201" s="68" t="s">
        <v>24</v>
      </c>
      <c r="F201" s="68" t="s">
        <v>36</v>
      </c>
      <c r="G201" s="5">
        <v>46364.4</v>
      </c>
      <c r="H201" s="5">
        <v>61819.200000000004</v>
      </c>
      <c r="I201" s="5">
        <v>7118.2588567877747</v>
      </c>
      <c r="J201" s="5">
        <v>6538.2588567877747</v>
      </c>
      <c r="K201" s="5">
        <v>11</v>
      </c>
      <c r="L201" s="5">
        <v>72290.271999999997</v>
      </c>
    </row>
    <row r="202" spans="1:12" ht="17.25" outlineLevel="1" x14ac:dyDescent="0.3">
      <c r="A202" s="68">
        <v>201</v>
      </c>
      <c r="B202" s="69">
        <v>2300000</v>
      </c>
      <c r="C202" s="68">
        <v>39</v>
      </c>
      <c r="D202" s="68" t="s">
        <v>37</v>
      </c>
      <c r="E202" s="68" t="s">
        <v>24</v>
      </c>
      <c r="F202" s="68" t="s">
        <v>38</v>
      </c>
      <c r="G202" s="5">
        <v>6762</v>
      </c>
      <c r="H202" s="5">
        <v>9016</v>
      </c>
      <c r="I202" s="5">
        <v>3426.332587953591</v>
      </c>
      <c r="J202" s="5">
        <v>2846.332587953591</v>
      </c>
      <c r="K202" s="5">
        <v>3</v>
      </c>
      <c r="L202" s="5">
        <v>11038.56</v>
      </c>
    </row>
    <row r="203" spans="1:12" ht="17.25" outlineLevel="1" x14ac:dyDescent="0.3">
      <c r="A203" s="68">
        <v>202</v>
      </c>
      <c r="B203" s="69">
        <v>7100000</v>
      </c>
      <c r="C203" s="68">
        <v>17</v>
      </c>
      <c r="D203" s="68" t="s">
        <v>37</v>
      </c>
      <c r="E203" s="68" t="s">
        <v>24</v>
      </c>
      <c r="F203" s="68" t="s">
        <v>52</v>
      </c>
      <c r="G203" s="5">
        <v>4082.5</v>
      </c>
      <c r="H203" s="5">
        <v>5443.333333333333</v>
      </c>
      <c r="I203" s="5">
        <v>1725.9683791300818</v>
      </c>
      <c r="J203" s="5">
        <v>1145.9683791300818</v>
      </c>
      <c r="K203" s="5">
        <v>5</v>
      </c>
      <c r="L203" s="5">
        <v>6894.2666666666655</v>
      </c>
    </row>
    <row r="204" spans="1:12" ht="17.25" outlineLevel="1" x14ac:dyDescent="0.3">
      <c r="A204" s="68">
        <v>203</v>
      </c>
      <c r="B204" s="69">
        <v>5800000</v>
      </c>
      <c r="C204" s="68">
        <v>41</v>
      </c>
      <c r="D204" s="68" t="s">
        <v>37</v>
      </c>
      <c r="E204" s="68" t="s">
        <v>24</v>
      </c>
      <c r="F204" s="68" t="s">
        <v>36</v>
      </c>
      <c r="G204" s="5">
        <v>19778</v>
      </c>
      <c r="H204" s="5">
        <v>26370.666666666668</v>
      </c>
      <c r="I204" s="5">
        <v>3369.0727297139315</v>
      </c>
      <c r="J204" s="5">
        <v>2789.0727297139315</v>
      </c>
      <c r="K204" s="5">
        <v>11</v>
      </c>
      <c r="L204" s="5">
        <v>31169.973333333332</v>
      </c>
    </row>
    <row r="205" spans="1:12" ht="17.25" outlineLevel="1" x14ac:dyDescent="0.3">
      <c r="A205" s="68">
        <v>204</v>
      </c>
      <c r="B205" s="69">
        <v>2900000</v>
      </c>
      <c r="C205" s="68">
        <v>73</v>
      </c>
      <c r="D205" s="68" t="s">
        <v>37</v>
      </c>
      <c r="E205" s="68" t="s">
        <v>24</v>
      </c>
      <c r="F205" s="68" t="s">
        <v>38</v>
      </c>
      <c r="G205" s="5">
        <v>103387.90000000001</v>
      </c>
      <c r="H205" s="5">
        <v>137850.53333333335</v>
      </c>
      <c r="I205" s="5">
        <v>44099.128803621279</v>
      </c>
      <c r="J205" s="5">
        <v>43519.128803621279</v>
      </c>
      <c r="K205" s="5">
        <v>3</v>
      </c>
      <c r="L205" s="5">
        <v>160486.61866666668</v>
      </c>
    </row>
    <row r="206" spans="1:12" ht="17.25" outlineLevel="1" x14ac:dyDescent="0.3">
      <c r="A206" s="68">
        <v>205</v>
      </c>
      <c r="B206" s="69">
        <v>3900000</v>
      </c>
      <c r="C206" s="68">
        <v>84</v>
      </c>
      <c r="D206" s="68" t="s">
        <v>37</v>
      </c>
      <c r="E206" s="68" t="s">
        <v>24</v>
      </c>
      <c r="F206" s="68" t="s">
        <v>36</v>
      </c>
      <c r="G206" s="5">
        <v>301614.3</v>
      </c>
      <c r="H206" s="5">
        <v>402152.39999999997</v>
      </c>
      <c r="I206" s="5">
        <v>43113.330924348091</v>
      </c>
      <c r="J206" s="5">
        <v>42533.330924348091</v>
      </c>
      <c r="K206" s="5">
        <v>11</v>
      </c>
      <c r="L206" s="5">
        <v>467076.78399999993</v>
      </c>
    </row>
    <row r="207" spans="1:12" ht="17.25" outlineLevel="1" x14ac:dyDescent="0.3">
      <c r="A207" s="68">
        <v>206</v>
      </c>
      <c r="B207" s="69">
        <v>9000000</v>
      </c>
      <c r="C207" s="68">
        <v>37</v>
      </c>
      <c r="D207" s="68" t="s">
        <v>31</v>
      </c>
      <c r="E207" s="68" t="s">
        <v>24</v>
      </c>
      <c r="F207" s="68" t="s">
        <v>36</v>
      </c>
      <c r="G207" s="5">
        <v>26460</v>
      </c>
      <c r="H207" s="5">
        <v>35280</v>
      </c>
      <c r="I207" s="5">
        <v>4311.3613321989396</v>
      </c>
      <c r="J207" s="5">
        <v>3731.3613321989396</v>
      </c>
      <c r="K207" s="5">
        <v>11</v>
      </c>
      <c r="L207" s="5">
        <v>41504.799999999996</v>
      </c>
    </row>
    <row r="208" spans="1:12" ht="17.25" outlineLevel="1" x14ac:dyDescent="0.3">
      <c r="A208" s="68">
        <v>207</v>
      </c>
      <c r="B208" s="69">
        <v>8900000</v>
      </c>
      <c r="C208" s="68">
        <v>25</v>
      </c>
      <c r="D208" s="68" t="s">
        <v>31</v>
      </c>
      <c r="E208" s="68" t="s">
        <v>24</v>
      </c>
      <c r="F208" s="68" t="s">
        <v>36</v>
      </c>
      <c r="G208" s="5">
        <v>10742.3</v>
      </c>
      <c r="H208" s="5">
        <v>14323.066666666666</v>
      </c>
      <c r="I208" s="5">
        <v>2094.8678321572434</v>
      </c>
      <c r="J208" s="5">
        <v>1514.8678321572436</v>
      </c>
      <c r="K208" s="5">
        <v>11</v>
      </c>
      <c r="L208" s="5">
        <v>17194.757333333331</v>
      </c>
    </row>
    <row r="209" spans="1:12" ht="17.25" outlineLevel="1" x14ac:dyDescent="0.3">
      <c r="A209" s="68">
        <v>208</v>
      </c>
      <c r="B209" s="69">
        <v>2600000</v>
      </c>
      <c r="C209" s="68">
        <v>100</v>
      </c>
      <c r="D209" s="68" t="s">
        <v>31</v>
      </c>
      <c r="E209" s="68" t="s">
        <v>24</v>
      </c>
      <c r="F209" s="68" t="s">
        <v>38</v>
      </c>
      <c r="G209" s="5">
        <v>3138.2</v>
      </c>
      <c r="H209" s="5">
        <v>4184.2666666666664</v>
      </c>
      <c r="I209" s="5">
        <v>1900.9643489375862</v>
      </c>
      <c r="J209" s="5">
        <v>1320.9643489375862</v>
      </c>
      <c r="K209" s="5">
        <v>3</v>
      </c>
      <c r="L209" s="5">
        <v>5433.7493333333323</v>
      </c>
    </row>
    <row r="210" spans="1:12" ht="17.25" outlineLevel="1" x14ac:dyDescent="0.3">
      <c r="A210" s="68">
        <v>209</v>
      </c>
      <c r="B210" s="69">
        <v>3200000</v>
      </c>
      <c r="C210" s="68">
        <v>66</v>
      </c>
      <c r="D210" s="68" t="s">
        <v>37</v>
      </c>
      <c r="E210" s="68" t="s">
        <v>24</v>
      </c>
      <c r="F210" s="68" t="s">
        <v>30</v>
      </c>
      <c r="G210" s="5">
        <v>68768</v>
      </c>
      <c r="H210" s="5">
        <v>91690.666666666672</v>
      </c>
      <c r="I210" s="5">
        <v>58975.469744940332</v>
      </c>
      <c r="J210" s="5">
        <v>58395.469744940332</v>
      </c>
      <c r="K210" s="5">
        <v>1</v>
      </c>
      <c r="L210" s="5">
        <v>106941.17333333332</v>
      </c>
    </row>
    <row r="211" spans="1:12" ht="17.25" outlineLevel="1" x14ac:dyDescent="0.3">
      <c r="A211" s="68">
        <v>210</v>
      </c>
      <c r="B211" s="69">
        <v>3000000</v>
      </c>
      <c r="C211" s="68">
        <v>101</v>
      </c>
      <c r="D211" s="68" t="s">
        <v>37</v>
      </c>
      <c r="E211" s="68" t="s">
        <v>24</v>
      </c>
      <c r="F211" s="68" t="s">
        <v>53</v>
      </c>
      <c r="G211" s="5">
        <v>64469.999999999993</v>
      </c>
      <c r="H211" s="5">
        <v>85959.999999999985</v>
      </c>
      <c r="I211" s="5">
        <v>109207.49727199979</v>
      </c>
      <c r="K211" s="5">
        <v>0</v>
      </c>
      <c r="L211" s="5">
        <v>100293.59999999998</v>
      </c>
    </row>
    <row r="212" spans="1:12" ht="17.25" outlineLevel="1" x14ac:dyDescent="0.3">
      <c r="A212" s="68">
        <v>211</v>
      </c>
      <c r="B212" s="69">
        <v>5600000</v>
      </c>
      <c r="C212" s="68">
        <v>46</v>
      </c>
      <c r="D212" s="68" t="s">
        <v>31</v>
      </c>
      <c r="E212" s="68" t="s">
        <v>24</v>
      </c>
      <c r="F212" s="68" t="s">
        <v>52</v>
      </c>
      <c r="G212" s="5">
        <v>32060</v>
      </c>
      <c r="H212" s="5">
        <v>42746.666666666664</v>
      </c>
      <c r="I212" s="5">
        <v>9579.325470890486</v>
      </c>
      <c r="J212" s="5">
        <v>8999.3254708904878</v>
      </c>
      <c r="K212" s="5">
        <v>5</v>
      </c>
      <c r="L212" s="5">
        <v>50166.133333333324</v>
      </c>
    </row>
    <row r="213" spans="1:12" ht="17.25" outlineLevel="1" x14ac:dyDescent="0.3">
      <c r="A213" s="68">
        <v>212</v>
      </c>
      <c r="B213" s="69">
        <v>1600000</v>
      </c>
      <c r="C213" s="68">
        <v>84</v>
      </c>
      <c r="D213" s="68" t="s">
        <v>31</v>
      </c>
      <c r="E213" s="68" t="s">
        <v>24</v>
      </c>
      <c r="F213" s="68" t="s">
        <v>53</v>
      </c>
      <c r="G213" s="5">
        <v>141838.40000000002</v>
      </c>
      <c r="H213" s="5">
        <v>189117.8666666667</v>
      </c>
      <c r="I213" s="5">
        <v>239567.90769450628</v>
      </c>
      <c r="K213" s="5">
        <v>0</v>
      </c>
      <c r="L213" s="5">
        <v>219956.72533333336</v>
      </c>
    </row>
    <row r="214" spans="1:12" ht="17.25" outlineLevel="1" x14ac:dyDescent="0.3">
      <c r="A214" s="68">
        <v>213</v>
      </c>
      <c r="B214" s="69">
        <v>7400000</v>
      </c>
      <c r="C214" s="68">
        <v>38</v>
      </c>
      <c r="D214" s="68" t="s">
        <v>31</v>
      </c>
      <c r="E214" s="68" t="s">
        <v>24</v>
      </c>
      <c r="F214" s="68" t="s">
        <v>30</v>
      </c>
      <c r="G214" s="5">
        <v>23428.400000000001</v>
      </c>
      <c r="H214" s="5">
        <v>31237.866666666669</v>
      </c>
      <c r="I214" s="5">
        <v>20474.608297062012</v>
      </c>
      <c r="J214" s="5">
        <v>19894.608297062012</v>
      </c>
      <c r="K214" s="5">
        <v>1</v>
      </c>
      <c r="L214" s="5">
        <v>36815.925333333333</v>
      </c>
    </row>
    <row r="215" spans="1:12" ht="17.25" outlineLevel="1" x14ac:dyDescent="0.3">
      <c r="A215" s="68">
        <v>214</v>
      </c>
      <c r="B215" s="69">
        <v>3100000</v>
      </c>
      <c r="C215" s="68">
        <v>81</v>
      </c>
      <c r="D215" s="68" t="s">
        <v>37</v>
      </c>
      <c r="E215" s="68" t="s">
        <v>24</v>
      </c>
      <c r="F215" s="68" t="s">
        <v>38</v>
      </c>
      <c r="G215" s="5">
        <v>194785.4</v>
      </c>
      <c r="H215" s="5">
        <v>259713.86666666667</v>
      </c>
      <c r="I215" s="5">
        <v>82571.131570182697</v>
      </c>
      <c r="J215" s="5">
        <v>81991.131570182697</v>
      </c>
      <c r="K215" s="5">
        <v>3</v>
      </c>
      <c r="L215" s="5">
        <v>301848.08533333329</v>
      </c>
    </row>
    <row r="216" spans="1:12" ht="17.25" outlineLevel="1" x14ac:dyDescent="0.3">
      <c r="A216" s="68">
        <v>215</v>
      </c>
      <c r="B216" s="69">
        <v>2100000</v>
      </c>
      <c r="C216" s="68">
        <v>70</v>
      </c>
      <c r="D216" s="68" t="s">
        <v>37</v>
      </c>
      <c r="E216" s="68" t="s">
        <v>24</v>
      </c>
      <c r="F216" s="68" t="s">
        <v>52</v>
      </c>
      <c r="G216" s="5">
        <v>60320.4</v>
      </c>
      <c r="H216" s="5">
        <v>80427.199999999997</v>
      </c>
      <c r="I216" s="5">
        <v>17512.093329204698</v>
      </c>
      <c r="J216" s="5">
        <v>16932.093329204698</v>
      </c>
      <c r="K216" s="5">
        <v>5</v>
      </c>
      <c r="L216" s="5">
        <v>93875.551999999996</v>
      </c>
    </row>
    <row r="217" spans="1:12" ht="17.25" outlineLevel="1" x14ac:dyDescent="0.3">
      <c r="A217" s="68">
        <v>216</v>
      </c>
      <c r="B217" s="69">
        <v>9600000</v>
      </c>
      <c r="C217" s="68">
        <v>23</v>
      </c>
      <c r="D217" s="68" t="s">
        <v>37</v>
      </c>
      <c r="E217" s="68" t="s">
        <v>24</v>
      </c>
      <c r="F217" s="68" t="s">
        <v>38</v>
      </c>
      <c r="G217" s="5">
        <v>8611.2000000000007</v>
      </c>
      <c r="H217" s="5">
        <v>11481.6</v>
      </c>
      <c r="I217" s="5">
        <v>4204.7174181286546</v>
      </c>
      <c r="J217" s="5">
        <v>3624.7174181286541</v>
      </c>
      <c r="K217" s="5">
        <v>3</v>
      </c>
      <c r="L217" s="5">
        <v>13898.655999999999</v>
      </c>
    </row>
    <row r="218" spans="1:12" ht="17.25" outlineLevel="1" x14ac:dyDescent="0.3">
      <c r="A218" s="68">
        <v>217</v>
      </c>
      <c r="B218" s="69">
        <v>8500000</v>
      </c>
      <c r="C218" s="68">
        <v>54</v>
      </c>
      <c r="D218" s="68" t="s">
        <v>37</v>
      </c>
      <c r="E218" s="68" t="s">
        <v>24</v>
      </c>
      <c r="F218" s="68" t="s">
        <v>38</v>
      </c>
      <c r="G218" s="5">
        <v>75777.5</v>
      </c>
      <c r="H218" s="5">
        <v>101036.66666666667</v>
      </c>
      <c r="I218" s="5">
        <v>32477.06709311642</v>
      </c>
      <c r="J218" s="5">
        <v>31897.06709311642</v>
      </c>
      <c r="K218" s="5">
        <v>3</v>
      </c>
      <c r="L218" s="5">
        <v>117782.53333333333</v>
      </c>
    </row>
    <row r="219" spans="1:12" ht="17.25" outlineLevel="1" x14ac:dyDescent="0.3">
      <c r="A219" s="68">
        <v>218</v>
      </c>
      <c r="B219" s="69">
        <v>4200000</v>
      </c>
      <c r="C219" s="68">
        <v>77</v>
      </c>
      <c r="D219" s="68" t="s">
        <v>37</v>
      </c>
      <c r="E219" s="68" t="s">
        <v>24</v>
      </c>
      <c r="F219" s="68" t="s">
        <v>38</v>
      </c>
      <c r="G219" s="5">
        <v>199180.80000000002</v>
      </c>
      <c r="H219" s="5">
        <v>265574.40000000002</v>
      </c>
      <c r="I219" s="5">
        <v>84421.289845410618</v>
      </c>
      <c r="J219" s="5">
        <v>83841.289845410618</v>
      </c>
      <c r="K219" s="5">
        <v>3</v>
      </c>
      <c r="L219" s="5">
        <v>308646.304</v>
      </c>
    </row>
    <row r="220" spans="1:12" ht="17.25" outlineLevel="1" x14ac:dyDescent="0.3">
      <c r="A220" s="68">
        <v>219</v>
      </c>
      <c r="B220" s="69">
        <v>1500000</v>
      </c>
      <c r="C220" s="68">
        <v>85</v>
      </c>
      <c r="D220" s="68" t="s">
        <v>31</v>
      </c>
      <c r="E220" s="68" t="s">
        <v>24</v>
      </c>
      <c r="F220" s="68" t="s">
        <v>36</v>
      </c>
      <c r="G220" s="5">
        <v>142275</v>
      </c>
      <c r="H220" s="5">
        <v>189700</v>
      </c>
      <c r="I220" s="5">
        <v>20643.470655276044</v>
      </c>
      <c r="J220" s="5">
        <v>20063.470655276044</v>
      </c>
      <c r="K220" s="5">
        <v>11</v>
      </c>
      <c r="L220" s="5">
        <v>220631.99999999997</v>
      </c>
    </row>
    <row r="221" spans="1:12" ht="17.25" outlineLevel="1" x14ac:dyDescent="0.3">
      <c r="A221" s="68">
        <v>220</v>
      </c>
      <c r="B221" s="69">
        <v>5700000</v>
      </c>
      <c r="C221" s="68">
        <v>93</v>
      </c>
      <c r="D221" s="68" t="s">
        <v>37</v>
      </c>
      <c r="E221" s="68" t="s">
        <v>24</v>
      </c>
      <c r="F221" s="68" t="s">
        <v>52</v>
      </c>
      <c r="G221" s="5">
        <v>802200.9</v>
      </c>
      <c r="H221" s="5">
        <v>1069601.2</v>
      </c>
      <c r="I221" s="5">
        <v>225759.88122711398</v>
      </c>
      <c r="J221" s="5">
        <v>225179.88122711398</v>
      </c>
      <c r="K221" s="5">
        <v>5</v>
      </c>
      <c r="L221" s="5">
        <v>1241317.3919999998</v>
      </c>
    </row>
    <row r="222" spans="1:12" ht="17.25" outlineLevel="1" x14ac:dyDescent="0.3">
      <c r="A222" s="68">
        <v>221</v>
      </c>
      <c r="B222" s="69">
        <v>4800000</v>
      </c>
      <c r="C222" s="68">
        <v>91</v>
      </c>
      <c r="D222" s="68" t="s">
        <v>37</v>
      </c>
      <c r="E222" s="68" t="s">
        <v>24</v>
      </c>
      <c r="F222" s="68" t="s">
        <v>30</v>
      </c>
      <c r="G222" s="5">
        <v>593649.6</v>
      </c>
      <c r="H222" s="5">
        <v>791532.79999999993</v>
      </c>
      <c r="I222" s="5">
        <v>504687.24836982216</v>
      </c>
      <c r="J222" s="5">
        <v>504107.24836982216</v>
      </c>
      <c r="K222" s="5">
        <v>1</v>
      </c>
      <c r="L222" s="5">
        <v>918758.04799999984</v>
      </c>
    </row>
    <row r="223" spans="1:12" ht="17.25" outlineLevel="1" x14ac:dyDescent="0.3">
      <c r="A223" s="68">
        <v>222</v>
      </c>
      <c r="B223" s="69">
        <v>5000000</v>
      </c>
      <c r="C223" s="68">
        <v>96</v>
      </c>
      <c r="D223" s="68" t="s">
        <v>31</v>
      </c>
      <c r="E223" s="68" t="s">
        <v>24</v>
      </c>
      <c r="F223" s="68" t="s">
        <v>36</v>
      </c>
      <c r="G223" s="5">
        <v>960100</v>
      </c>
      <c r="H223" s="5">
        <v>1280133.3333333333</v>
      </c>
      <c r="I223" s="5">
        <v>135972.29081799704</v>
      </c>
      <c r="J223" s="5">
        <v>135392.29081799704</v>
      </c>
      <c r="K223" s="5">
        <v>11</v>
      </c>
      <c r="L223" s="5">
        <v>1485534.6666666665</v>
      </c>
    </row>
    <row r="224" spans="1:12" ht="17.25" outlineLevel="1" x14ac:dyDescent="0.3">
      <c r="A224" s="68">
        <v>223</v>
      </c>
      <c r="B224" s="69">
        <v>5400000</v>
      </c>
      <c r="C224" s="68">
        <v>76</v>
      </c>
      <c r="D224" s="68" t="s">
        <v>31</v>
      </c>
      <c r="E224" s="68" t="s">
        <v>24</v>
      </c>
      <c r="F224" s="68" t="s">
        <v>30</v>
      </c>
      <c r="G224" s="5">
        <v>274870.8</v>
      </c>
      <c r="H224" s="5">
        <v>366494.39999999997</v>
      </c>
      <c r="I224" s="5">
        <v>233991.02671544239</v>
      </c>
      <c r="J224" s="5">
        <v>233411.02671544239</v>
      </c>
      <c r="K224" s="5">
        <v>1</v>
      </c>
      <c r="L224" s="5">
        <v>425713.50399999996</v>
      </c>
    </row>
    <row r="225" spans="1:12" ht="17.25" outlineLevel="1" x14ac:dyDescent="0.3">
      <c r="A225" s="68">
        <v>224</v>
      </c>
      <c r="B225" s="69">
        <v>1700000</v>
      </c>
      <c r="C225" s="68">
        <v>88</v>
      </c>
      <c r="D225" s="68" t="s">
        <v>37</v>
      </c>
      <c r="E225" s="68" t="s">
        <v>24</v>
      </c>
      <c r="F225" s="68" t="s">
        <v>36</v>
      </c>
      <c r="G225" s="5">
        <v>172441.2</v>
      </c>
      <c r="H225" s="5">
        <v>229921.6</v>
      </c>
      <c r="I225" s="5">
        <v>24897.476408087066</v>
      </c>
      <c r="J225" s="5">
        <v>24317.476408087066</v>
      </c>
      <c r="K225" s="5">
        <v>11</v>
      </c>
      <c r="L225" s="5">
        <v>267289.05599999998</v>
      </c>
    </row>
    <row r="226" spans="1:12" ht="17.25" outlineLevel="1" x14ac:dyDescent="0.3">
      <c r="A226" s="68">
        <v>225</v>
      </c>
      <c r="B226" s="69">
        <v>6900000</v>
      </c>
      <c r="C226" s="68">
        <v>82</v>
      </c>
      <c r="D226" s="68" t="s">
        <v>31</v>
      </c>
      <c r="E226" s="68" t="s">
        <v>24</v>
      </c>
      <c r="F226" s="68" t="s">
        <v>30</v>
      </c>
      <c r="G226" s="5">
        <v>533625.30000000005</v>
      </c>
      <c r="H226" s="5">
        <v>711500.4</v>
      </c>
      <c r="I226" s="5">
        <v>453716.63420900289</v>
      </c>
      <c r="J226" s="5">
        <v>453136.63420900289</v>
      </c>
      <c r="K226" s="5">
        <v>1</v>
      </c>
      <c r="L226" s="5">
        <v>825920.46399999992</v>
      </c>
    </row>
    <row r="227" spans="1:12" ht="17.25" outlineLevel="1" x14ac:dyDescent="0.3">
      <c r="A227" s="68">
        <v>226</v>
      </c>
      <c r="B227" s="69">
        <v>10000000</v>
      </c>
      <c r="C227" s="68">
        <v>29</v>
      </c>
      <c r="D227" s="68" t="s">
        <v>31</v>
      </c>
      <c r="E227" s="68" t="s">
        <v>24</v>
      </c>
      <c r="F227" s="68" t="s">
        <v>30</v>
      </c>
      <c r="G227" s="5">
        <v>16240</v>
      </c>
      <c r="H227" s="5">
        <v>21653.333333333332</v>
      </c>
      <c r="I227" s="5">
        <v>14370.46109611783</v>
      </c>
      <c r="J227" s="5">
        <v>13790.46109611783</v>
      </c>
      <c r="K227" s="5">
        <v>1</v>
      </c>
      <c r="L227" s="5">
        <v>25697.866666666665</v>
      </c>
    </row>
    <row r="228" spans="1:12" ht="17.25" outlineLevel="1" x14ac:dyDescent="0.3">
      <c r="A228" s="68">
        <v>227</v>
      </c>
      <c r="B228" s="69">
        <v>2500000</v>
      </c>
      <c r="C228" s="68">
        <v>22</v>
      </c>
      <c r="D228" s="68" t="s">
        <v>31</v>
      </c>
      <c r="E228" s="68" t="s">
        <v>24</v>
      </c>
      <c r="F228" s="68" t="s">
        <v>30</v>
      </c>
      <c r="G228" s="5">
        <v>2415</v>
      </c>
      <c r="H228" s="5">
        <v>3220</v>
      </c>
      <c r="I228" s="5">
        <v>2630.7366716209704</v>
      </c>
      <c r="J228" s="5">
        <v>2050.7366716209704</v>
      </c>
      <c r="K228" s="5">
        <v>1</v>
      </c>
      <c r="L228" s="5">
        <v>4315.2</v>
      </c>
    </row>
    <row r="229" spans="1:12" ht="17.25" outlineLevel="1" x14ac:dyDescent="0.3">
      <c r="A229" s="68">
        <v>228</v>
      </c>
      <c r="B229" s="69">
        <v>3700000</v>
      </c>
      <c r="C229" s="68">
        <v>10</v>
      </c>
      <c r="D229" s="68" t="s">
        <v>37</v>
      </c>
      <c r="E229" s="68" t="s">
        <v>24</v>
      </c>
      <c r="F229" s="68" t="s">
        <v>52</v>
      </c>
      <c r="G229" s="5">
        <v>3574.2</v>
      </c>
      <c r="H229" s="5">
        <v>4765.5999999999995</v>
      </c>
      <c r="I229" s="5">
        <v>1583.2872457285332</v>
      </c>
      <c r="J229" s="5">
        <v>1003.2872457285334</v>
      </c>
      <c r="K229" s="5">
        <v>5</v>
      </c>
      <c r="L229" s="5">
        <v>6108.0959999999986</v>
      </c>
    </row>
    <row r="230" spans="1:12" ht="17.25" outlineLevel="1" x14ac:dyDescent="0.3">
      <c r="A230" s="68">
        <v>229</v>
      </c>
      <c r="B230" s="69">
        <v>2400000</v>
      </c>
      <c r="C230" s="68">
        <v>75</v>
      </c>
      <c r="D230" s="68" t="s">
        <v>31</v>
      </c>
      <c r="E230" s="68" t="s">
        <v>24</v>
      </c>
      <c r="F230" s="68" t="s">
        <v>36</v>
      </c>
      <c r="G230" s="5">
        <v>113817.60000000001</v>
      </c>
      <c r="H230" s="5">
        <v>151756.80000000002</v>
      </c>
      <c r="I230" s="5">
        <v>16630.438078748528</v>
      </c>
      <c r="J230" s="5">
        <v>16050.438078748528</v>
      </c>
      <c r="K230" s="5">
        <v>11</v>
      </c>
      <c r="L230" s="5">
        <v>176617.88800000001</v>
      </c>
    </row>
    <row r="231" spans="1:12" ht="17.25" outlineLevel="1" x14ac:dyDescent="0.3">
      <c r="A231" s="68">
        <v>230</v>
      </c>
      <c r="B231" s="69">
        <v>5800000</v>
      </c>
      <c r="C231" s="68">
        <v>60</v>
      </c>
      <c r="D231" s="68" t="s">
        <v>37</v>
      </c>
      <c r="E231" s="68" t="s">
        <v>24</v>
      </c>
      <c r="F231" s="68" t="s">
        <v>30</v>
      </c>
      <c r="G231" s="5">
        <v>80388</v>
      </c>
      <c r="H231" s="5">
        <v>107184</v>
      </c>
      <c r="I231" s="5">
        <v>68842.782425783269</v>
      </c>
      <c r="J231" s="5">
        <v>68262.782425783269</v>
      </c>
      <c r="K231" s="5">
        <v>1</v>
      </c>
      <c r="L231" s="5">
        <v>124913.43999999999</v>
      </c>
    </row>
    <row r="232" spans="1:12" ht="17.25" outlineLevel="1" x14ac:dyDescent="0.3">
      <c r="A232" s="68">
        <v>231</v>
      </c>
      <c r="B232" s="69">
        <v>3700000</v>
      </c>
      <c r="C232" s="68">
        <v>56</v>
      </c>
      <c r="D232" s="68" t="s">
        <v>31</v>
      </c>
      <c r="E232" s="68" t="s">
        <v>24</v>
      </c>
      <c r="F232" s="68" t="s">
        <v>53</v>
      </c>
      <c r="G232" s="5">
        <v>44277.9</v>
      </c>
      <c r="H232" s="5">
        <v>59037.200000000004</v>
      </c>
      <c r="I232" s="5">
        <v>75185.203373039883</v>
      </c>
      <c r="K232" s="5">
        <v>0</v>
      </c>
      <c r="L232" s="5">
        <v>69063.152000000002</v>
      </c>
    </row>
    <row r="233" spans="1:12" ht="17.25" outlineLevel="1" x14ac:dyDescent="0.3">
      <c r="A233" s="68">
        <v>232</v>
      </c>
      <c r="B233" s="69">
        <v>1100000</v>
      </c>
      <c r="C233" s="68">
        <v>65</v>
      </c>
      <c r="D233" s="68" t="s">
        <v>37</v>
      </c>
      <c r="E233" s="68" t="s">
        <v>24</v>
      </c>
      <c r="F233" s="68" t="s">
        <v>38</v>
      </c>
      <c r="G233" s="5">
        <v>21978</v>
      </c>
      <c r="H233" s="5">
        <v>29304</v>
      </c>
      <c r="I233" s="5">
        <v>9831.2123067205011</v>
      </c>
      <c r="J233" s="5">
        <v>9251.2123067204993</v>
      </c>
      <c r="K233" s="5">
        <v>3</v>
      </c>
      <c r="L233" s="5">
        <v>34572.639999999999</v>
      </c>
    </row>
    <row r="234" spans="1:12" ht="17.25" outlineLevel="1" x14ac:dyDescent="0.3">
      <c r="A234" s="68">
        <v>233</v>
      </c>
      <c r="B234" s="69">
        <v>3800000</v>
      </c>
      <c r="C234" s="68">
        <v>72</v>
      </c>
      <c r="D234" s="68" t="s">
        <v>37</v>
      </c>
      <c r="E234" s="68" t="s">
        <v>24</v>
      </c>
      <c r="F234" s="68" t="s">
        <v>38</v>
      </c>
      <c r="G234" s="5">
        <v>126084</v>
      </c>
      <c r="H234" s="5">
        <v>168112</v>
      </c>
      <c r="I234" s="5">
        <v>53652.611360476272</v>
      </c>
      <c r="J234" s="5">
        <v>53072.611360476272</v>
      </c>
      <c r="K234" s="5">
        <v>3</v>
      </c>
      <c r="L234" s="5">
        <v>195589.91999999998</v>
      </c>
    </row>
    <row r="235" spans="1:12" ht="17.25" outlineLevel="1" x14ac:dyDescent="0.3">
      <c r="A235" s="68">
        <v>234</v>
      </c>
      <c r="B235" s="69">
        <v>8700000</v>
      </c>
      <c r="C235" s="68">
        <v>16</v>
      </c>
      <c r="D235" s="68" t="s">
        <v>31</v>
      </c>
      <c r="E235" s="68" t="s">
        <v>24</v>
      </c>
      <c r="F235" s="68" t="s">
        <v>53</v>
      </c>
      <c r="G235" s="5">
        <v>5385.3</v>
      </c>
      <c r="H235" s="5">
        <v>7180.4000000000005</v>
      </c>
      <c r="I235" s="5">
        <v>9653.8585552799832</v>
      </c>
      <c r="K235" s="5">
        <v>0</v>
      </c>
      <c r="L235" s="5">
        <v>8909.2639999999992</v>
      </c>
    </row>
    <row r="236" spans="1:12" ht="17.25" outlineLevel="1" x14ac:dyDescent="0.3">
      <c r="A236" s="68">
        <v>235</v>
      </c>
      <c r="B236" s="69">
        <v>4700000</v>
      </c>
      <c r="C236" s="68">
        <v>16</v>
      </c>
      <c r="D236" s="68" t="s">
        <v>31</v>
      </c>
      <c r="E236" s="68" t="s">
        <v>24</v>
      </c>
      <c r="F236" s="68" t="s">
        <v>52</v>
      </c>
      <c r="G236" s="5">
        <v>2909.2999999999997</v>
      </c>
      <c r="H236" s="5">
        <v>3879.0666666666662</v>
      </c>
      <c r="I236" s="5">
        <v>1396.6480846057923</v>
      </c>
      <c r="J236" s="5">
        <v>816.64808460579218</v>
      </c>
      <c r="K236" s="5">
        <v>5</v>
      </c>
      <c r="L236" s="5">
        <v>5079.7173333333321</v>
      </c>
    </row>
    <row r="237" spans="1:12" ht="17.25" outlineLevel="1" x14ac:dyDescent="0.3">
      <c r="A237" s="68">
        <v>236</v>
      </c>
      <c r="B237" s="69">
        <v>6400000</v>
      </c>
      <c r="C237" s="68">
        <v>10</v>
      </c>
      <c r="D237" s="68" t="s">
        <v>37</v>
      </c>
      <c r="E237" s="68" t="s">
        <v>24</v>
      </c>
      <c r="F237" s="68" t="s">
        <v>53</v>
      </c>
      <c r="G237" s="5">
        <v>3961.6</v>
      </c>
      <c r="H237" s="5">
        <v>5282.1333333333332</v>
      </c>
      <c r="I237" s="5">
        <v>7255.0223854933211</v>
      </c>
      <c r="K237" s="5">
        <v>0</v>
      </c>
      <c r="L237" s="5">
        <v>6707.2746666666662</v>
      </c>
    </row>
    <row r="238" spans="1:12" ht="17.25" outlineLevel="1" x14ac:dyDescent="0.3">
      <c r="A238" s="68">
        <v>237</v>
      </c>
      <c r="B238" s="69">
        <v>8300000</v>
      </c>
      <c r="C238" s="68">
        <v>82</v>
      </c>
      <c r="D238" s="68" t="s">
        <v>31</v>
      </c>
      <c r="E238" s="68" t="s">
        <v>24</v>
      </c>
      <c r="F238" s="68" t="s">
        <v>30</v>
      </c>
      <c r="G238" s="5">
        <v>641897.1</v>
      </c>
      <c r="H238" s="5">
        <v>855862.79999999993</v>
      </c>
      <c r="I238" s="5">
        <v>545657.40057024977</v>
      </c>
      <c r="J238" s="5">
        <v>545077.40057024977</v>
      </c>
      <c r="K238" s="5">
        <v>1</v>
      </c>
      <c r="L238" s="5">
        <v>993380.84799999988</v>
      </c>
    </row>
    <row r="239" spans="1:12" ht="17.25" outlineLevel="1" x14ac:dyDescent="0.3">
      <c r="A239" s="68">
        <v>238</v>
      </c>
      <c r="B239" s="69">
        <v>6000000</v>
      </c>
      <c r="C239" s="68">
        <v>16</v>
      </c>
      <c r="D239" s="68" t="s">
        <v>37</v>
      </c>
      <c r="E239" s="68" t="s">
        <v>24</v>
      </c>
      <c r="F239" s="68" t="s">
        <v>38</v>
      </c>
      <c r="G239" s="5">
        <v>3198.0000000000005</v>
      </c>
      <c r="H239" s="5">
        <v>4264.0000000000009</v>
      </c>
      <c r="I239" s="5">
        <v>1926.1359976745912</v>
      </c>
      <c r="J239" s="5">
        <v>1346.1359976745912</v>
      </c>
      <c r="K239" s="5">
        <v>3</v>
      </c>
      <c r="L239" s="5">
        <v>5526.2400000000007</v>
      </c>
    </row>
    <row r="240" spans="1:12" ht="17.25" outlineLevel="1" x14ac:dyDescent="0.3">
      <c r="A240" s="68">
        <v>239</v>
      </c>
      <c r="B240" s="69">
        <v>2000000</v>
      </c>
      <c r="C240" s="68">
        <v>19</v>
      </c>
      <c r="D240" s="68" t="s">
        <v>37</v>
      </c>
      <c r="E240" s="68" t="s">
        <v>24</v>
      </c>
      <c r="F240" s="68" t="s">
        <v>53</v>
      </c>
      <c r="G240" s="5">
        <v>1334</v>
      </c>
      <c r="H240" s="5">
        <v>1778.6666666666667</v>
      </c>
      <c r="I240" s="5">
        <v>2827.6978650666629</v>
      </c>
      <c r="K240" s="5">
        <v>0</v>
      </c>
      <c r="L240" s="5">
        <v>2643.2533333333336</v>
      </c>
    </row>
    <row r="241" spans="1:12" ht="17.25" outlineLevel="1" x14ac:dyDescent="0.3">
      <c r="A241" s="68">
        <v>240</v>
      </c>
      <c r="B241" s="69">
        <v>5400000</v>
      </c>
      <c r="C241" s="68">
        <v>85</v>
      </c>
      <c r="D241" s="68" t="s">
        <v>31</v>
      </c>
      <c r="E241" s="68" t="s">
        <v>24</v>
      </c>
      <c r="F241" s="68" t="s">
        <v>38</v>
      </c>
      <c r="G241" s="5">
        <v>512190</v>
      </c>
      <c r="H241" s="5">
        <v>682920</v>
      </c>
      <c r="I241" s="5">
        <v>216176.43422418658</v>
      </c>
      <c r="J241" s="5">
        <v>215596.43422418658</v>
      </c>
      <c r="K241" s="5">
        <v>3</v>
      </c>
      <c r="L241" s="5">
        <v>792767.2</v>
      </c>
    </row>
    <row r="242" spans="1:12" ht="17.25" outlineLevel="1" x14ac:dyDescent="0.3">
      <c r="A242" s="68">
        <v>241</v>
      </c>
      <c r="B242" s="69">
        <v>9000000</v>
      </c>
      <c r="C242" s="68">
        <v>82</v>
      </c>
      <c r="D242" s="68" t="s">
        <v>37</v>
      </c>
      <c r="E242" s="68" t="s">
        <v>24</v>
      </c>
      <c r="F242" s="68" t="s">
        <v>53</v>
      </c>
      <c r="G242" s="5">
        <v>606258</v>
      </c>
      <c r="H242" s="5">
        <v>808344</v>
      </c>
      <c r="I242" s="5">
        <v>1022082.8577807981</v>
      </c>
      <c r="K242" s="5">
        <v>0</v>
      </c>
      <c r="L242" s="5">
        <v>938259.03999999992</v>
      </c>
    </row>
    <row r="243" spans="1:12" ht="17.25" outlineLevel="1" x14ac:dyDescent="0.3">
      <c r="A243" s="68">
        <v>242</v>
      </c>
      <c r="B243" s="69">
        <v>3800000</v>
      </c>
      <c r="C243" s="68">
        <v>96</v>
      </c>
      <c r="D243" s="68" t="s">
        <v>37</v>
      </c>
      <c r="E243" s="68" t="s">
        <v>24</v>
      </c>
      <c r="F243" s="68" t="s">
        <v>30</v>
      </c>
      <c r="G243" s="5">
        <v>645886</v>
      </c>
      <c r="H243" s="5">
        <v>861181.33333333337</v>
      </c>
      <c r="I243" s="5">
        <v>549044.64011866762</v>
      </c>
      <c r="J243" s="5">
        <v>548464.64011866762</v>
      </c>
      <c r="K243" s="5">
        <v>1</v>
      </c>
      <c r="L243" s="5">
        <v>999550.34666666668</v>
      </c>
    </row>
    <row r="244" spans="1:12" ht="17.25" outlineLevel="1" x14ac:dyDescent="0.3">
      <c r="A244" s="68">
        <v>243</v>
      </c>
      <c r="B244" s="69">
        <v>3800000</v>
      </c>
      <c r="C244" s="68">
        <v>54</v>
      </c>
      <c r="D244" s="68" t="s">
        <v>37</v>
      </c>
      <c r="E244" s="68" t="s">
        <v>24</v>
      </c>
      <c r="F244" s="68" t="s">
        <v>36</v>
      </c>
      <c r="G244" s="5">
        <v>33877</v>
      </c>
      <c r="H244" s="5">
        <v>45169.333333333336</v>
      </c>
      <c r="I244" s="5">
        <v>5357.298860578363</v>
      </c>
      <c r="J244" s="5">
        <v>4777.298860578363</v>
      </c>
      <c r="K244" s="5">
        <v>11</v>
      </c>
      <c r="L244" s="5">
        <v>52976.426666666666</v>
      </c>
    </row>
    <row r="245" spans="1:12" ht="17.25" outlineLevel="1" x14ac:dyDescent="0.3">
      <c r="A245" s="68">
        <v>244</v>
      </c>
      <c r="B245" s="69">
        <v>2900000</v>
      </c>
      <c r="C245" s="68">
        <v>97</v>
      </c>
      <c r="D245" s="68" t="s">
        <v>37</v>
      </c>
      <c r="E245" s="68" t="s">
        <v>24</v>
      </c>
      <c r="F245" s="68" t="s">
        <v>30</v>
      </c>
      <c r="G245" s="5">
        <v>524125.7</v>
      </c>
      <c r="H245" s="5">
        <v>698834.26666666672</v>
      </c>
      <c r="I245" s="5">
        <v>445649.89380083291</v>
      </c>
      <c r="J245" s="5">
        <v>445069.89380083291</v>
      </c>
      <c r="K245" s="5">
        <v>1</v>
      </c>
      <c r="L245" s="5">
        <v>811227.74933333334</v>
      </c>
    </row>
    <row r="246" spans="1:12" ht="17.25" outlineLevel="1" x14ac:dyDescent="0.3">
      <c r="A246" s="68">
        <v>245</v>
      </c>
      <c r="B246" s="69">
        <v>2900000</v>
      </c>
      <c r="C246" s="68">
        <v>63</v>
      </c>
      <c r="D246" s="68" t="s">
        <v>37</v>
      </c>
      <c r="E246" s="68" t="s">
        <v>24</v>
      </c>
      <c r="F246" s="68" t="s">
        <v>53</v>
      </c>
      <c r="G246" s="5">
        <v>50068.5</v>
      </c>
      <c r="H246" s="5">
        <v>66758</v>
      </c>
      <c r="I246" s="5">
        <v>84941.964435599846</v>
      </c>
      <c r="K246" s="5">
        <v>0</v>
      </c>
      <c r="L246" s="5">
        <v>78019.28</v>
      </c>
    </row>
    <row r="247" spans="1:12" ht="17.25" outlineLevel="1" x14ac:dyDescent="0.3">
      <c r="A247" s="68">
        <v>246</v>
      </c>
      <c r="B247" s="69">
        <v>9700000</v>
      </c>
      <c r="C247" s="68">
        <v>65</v>
      </c>
      <c r="D247" s="68" t="s">
        <v>37</v>
      </c>
      <c r="E247" s="68" t="s">
        <v>24</v>
      </c>
      <c r="F247" s="68" t="s">
        <v>52</v>
      </c>
      <c r="G247" s="5">
        <v>193806</v>
      </c>
      <c r="H247" s="5">
        <v>258408</v>
      </c>
      <c r="I247" s="5">
        <v>54981.848790124837</v>
      </c>
      <c r="J247" s="5">
        <v>54401.848790124837</v>
      </c>
      <c r="K247" s="5">
        <v>5</v>
      </c>
      <c r="L247" s="5">
        <v>300333.27999999997</v>
      </c>
    </row>
    <row r="248" spans="1:12" ht="17.25" outlineLevel="1" x14ac:dyDescent="0.3">
      <c r="A248" s="68">
        <v>247</v>
      </c>
      <c r="B248" s="69">
        <v>1200000</v>
      </c>
      <c r="C248" s="68">
        <v>93</v>
      </c>
      <c r="D248" s="68" t="s">
        <v>31</v>
      </c>
      <c r="E248" s="68" t="s">
        <v>24</v>
      </c>
      <c r="F248" s="68" t="s">
        <v>53</v>
      </c>
      <c r="G248" s="5">
        <v>191667.6</v>
      </c>
      <c r="H248" s="5">
        <v>255556.80000000002</v>
      </c>
      <c r="I248" s="5">
        <v>323526.66815775941</v>
      </c>
      <c r="K248" s="5">
        <v>0</v>
      </c>
      <c r="L248" s="5">
        <v>297025.88799999998</v>
      </c>
    </row>
    <row r="249" spans="1:12" ht="17.25" outlineLevel="1" x14ac:dyDescent="0.3">
      <c r="A249" s="68">
        <v>248</v>
      </c>
      <c r="B249" s="69">
        <v>4200000</v>
      </c>
      <c r="C249" s="68">
        <v>13</v>
      </c>
      <c r="D249" s="68" t="s">
        <v>31</v>
      </c>
      <c r="E249" s="68" t="s">
        <v>24</v>
      </c>
      <c r="F249" s="68" t="s">
        <v>36</v>
      </c>
      <c r="G249" s="5">
        <v>2079</v>
      </c>
      <c r="H249" s="5">
        <v>2772</v>
      </c>
      <c r="I249" s="5">
        <v>873.17839038705949</v>
      </c>
      <c r="J249" s="5">
        <v>293.17839038705949</v>
      </c>
      <c r="K249" s="5">
        <v>11</v>
      </c>
      <c r="L249" s="5">
        <v>3795.5199999999995</v>
      </c>
    </row>
    <row r="250" spans="1:12" ht="17.25" outlineLevel="1" x14ac:dyDescent="0.3">
      <c r="A250" s="68">
        <v>249</v>
      </c>
      <c r="B250" s="69">
        <v>9000000</v>
      </c>
      <c r="C250" s="68">
        <v>102</v>
      </c>
      <c r="D250" s="68" t="s">
        <v>31</v>
      </c>
      <c r="E250" s="68" t="s">
        <v>24</v>
      </c>
      <c r="F250" s="68" t="s">
        <v>30</v>
      </c>
      <c r="G250" s="5">
        <v>4455</v>
      </c>
      <c r="H250" s="5">
        <v>5940</v>
      </c>
      <c r="I250" s="5">
        <v>4363.0359718722248</v>
      </c>
      <c r="J250" s="5">
        <v>3783.0359718722252</v>
      </c>
      <c r="K250" s="5">
        <v>1</v>
      </c>
      <c r="L250" s="5">
        <v>7470.4</v>
      </c>
    </row>
    <row r="251" spans="1:12" ht="17.25" outlineLevel="1" x14ac:dyDescent="0.3">
      <c r="A251" s="68">
        <v>250</v>
      </c>
      <c r="B251" s="69">
        <v>6000000</v>
      </c>
      <c r="C251" s="68">
        <v>59</v>
      </c>
      <c r="D251" s="68" t="s">
        <v>31</v>
      </c>
      <c r="E251" s="68" t="s">
        <v>24</v>
      </c>
      <c r="F251" s="68" t="s">
        <v>52</v>
      </c>
      <c r="G251" s="5">
        <v>89484</v>
      </c>
      <c r="H251" s="5">
        <v>119312</v>
      </c>
      <c r="I251" s="5">
        <v>25698.391779075628</v>
      </c>
      <c r="J251" s="5">
        <v>25118.391779075628</v>
      </c>
      <c r="K251" s="5">
        <v>5</v>
      </c>
      <c r="L251" s="5">
        <v>138981.91999999998</v>
      </c>
    </row>
    <row r="252" spans="1:12" ht="17.25" outlineLevel="1" x14ac:dyDescent="0.3">
      <c r="A252" s="68">
        <v>251</v>
      </c>
      <c r="B252" s="69">
        <v>4400000</v>
      </c>
      <c r="C252" s="68">
        <v>52</v>
      </c>
      <c r="D252" s="68" t="s">
        <v>37</v>
      </c>
      <c r="E252" s="68" t="s">
        <v>24</v>
      </c>
      <c r="F252" s="68" t="s">
        <v>52</v>
      </c>
      <c r="G252" s="5">
        <v>33849.200000000004</v>
      </c>
      <c r="H252" s="5">
        <v>45132.26666666667</v>
      </c>
      <c r="I252" s="5">
        <v>10081.558569222283</v>
      </c>
      <c r="J252" s="5">
        <v>9501.5585692222812</v>
      </c>
      <c r="K252" s="5">
        <v>5</v>
      </c>
      <c r="L252" s="5">
        <v>52933.429333333333</v>
      </c>
    </row>
    <row r="253" spans="1:12" ht="17.25" outlineLevel="1" x14ac:dyDescent="0.3">
      <c r="A253" s="68">
        <v>252</v>
      </c>
      <c r="B253" s="69">
        <v>8200000</v>
      </c>
      <c r="C253" s="68">
        <v>58</v>
      </c>
      <c r="D253" s="68" t="s">
        <v>31</v>
      </c>
      <c r="E253" s="68" t="s">
        <v>24</v>
      </c>
      <c r="F253" s="68" t="s">
        <v>53</v>
      </c>
      <c r="G253" s="5">
        <v>113652</v>
      </c>
      <c r="H253" s="5">
        <v>151536</v>
      </c>
      <c r="I253" s="5">
        <v>192075.77043519964</v>
      </c>
      <c r="K253" s="5">
        <v>0</v>
      </c>
      <c r="L253" s="5">
        <v>176361.75999999998</v>
      </c>
    </row>
    <row r="254" spans="1:12" ht="17.25" outlineLevel="1" x14ac:dyDescent="0.3">
      <c r="A254" s="68">
        <v>253</v>
      </c>
      <c r="B254" s="69">
        <v>7700000</v>
      </c>
      <c r="C254" s="68">
        <v>47</v>
      </c>
      <c r="D254" s="68" t="s">
        <v>37</v>
      </c>
      <c r="E254" s="68" t="s">
        <v>24</v>
      </c>
      <c r="F254" s="68" t="s">
        <v>52</v>
      </c>
      <c r="G254" s="5">
        <v>40940.899999999994</v>
      </c>
      <c r="H254" s="5">
        <v>54587.866666666661</v>
      </c>
      <c r="I254" s="5">
        <v>12072.217223056157</v>
      </c>
      <c r="J254" s="5">
        <v>11492.217223056157</v>
      </c>
      <c r="K254" s="5">
        <v>5</v>
      </c>
      <c r="L254" s="5">
        <v>63901.925333333325</v>
      </c>
    </row>
    <row r="255" spans="1:12" ht="17.25" outlineLevel="1" x14ac:dyDescent="0.3">
      <c r="A255" s="68">
        <v>254</v>
      </c>
      <c r="B255" s="69">
        <v>1100000</v>
      </c>
      <c r="C255" s="68">
        <v>48</v>
      </c>
      <c r="D255" s="68" t="s">
        <v>37</v>
      </c>
      <c r="E255" s="68" t="s">
        <v>24</v>
      </c>
      <c r="F255" s="68" t="s">
        <v>52</v>
      </c>
      <c r="G255" s="5">
        <v>6297.5</v>
      </c>
      <c r="H255" s="5">
        <v>8396.6666666666661</v>
      </c>
      <c r="I255" s="5">
        <v>2347.7246460677743</v>
      </c>
      <c r="J255" s="5">
        <v>1767.7246460677745</v>
      </c>
      <c r="K255" s="5">
        <v>5</v>
      </c>
      <c r="L255" s="5">
        <v>10320.133333333331</v>
      </c>
    </row>
    <row r="256" spans="1:12" ht="17.25" outlineLevel="1" x14ac:dyDescent="0.3">
      <c r="A256" s="68">
        <v>255</v>
      </c>
      <c r="B256" s="69">
        <v>5400000</v>
      </c>
      <c r="C256" s="68">
        <v>74</v>
      </c>
      <c r="D256" s="68" t="s">
        <v>31</v>
      </c>
      <c r="E256" s="68" t="s">
        <v>24</v>
      </c>
      <c r="F256" s="68" t="s">
        <v>38</v>
      </c>
      <c r="G256" s="5">
        <v>238539.59999999998</v>
      </c>
      <c r="H256" s="5">
        <v>318052.8</v>
      </c>
      <c r="I256" s="5">
        <v>100988.61239240083</v>
      </c>
      <c r="J256" s="5">
        <v>100408.61239240083</v>
      </c>
      <c r="K256" s="5">
        <v>3</v>
      </c>
      <c r="L256" s="5">
        <v>369521.24799999996</v>
      </c>
    </row>
    <row r="257" spans="1:12" ht="17.25" outlineLevel="1" x14ac:dyDescent="0.3">
      <c r="A257" s="68">
        <v>256</v>
      </c>
      <c r="B257" s="69">
        <v>6800000</v>
      </c>
      <c r="C257" s="68">
        <v>61</v>
      </c>
      <c r="D257" s="68" t="s">
        <v>37</v>
      </c>
      <c r="E257" s="68" t="s">
        <v>24</v>
      </c>
      <c r="F257" s="68" t="s">
        <v>38</v>
      </c>
      <c r="G257" s="5">
        <v>101415.2</v>
      </c>
      <c r="H257" s="5">
        <v>135220.26666666666</v>
      </c>
      <c r="I257" s="5">
        <v>43268.759046706742</v>
      </c>
      <c r="J257" s="5">
        <v>42688.759046706742</v>
      </c>
      <c r="K257" s="5">
        <v>3</v>
      </c>
      <c r="L257" s="5">
        <v>157435.50933333332</v>
      </c>
    </row>
    <row r="258" spans="1:12" ht="17.25" outlineLevel="1" x14ac:dyDescent="0.3">
      <c r="A258" s="68">
        <v>257</v>
      </c>
      <c r="B258" s="69">
        <v>1500000</v>
      </c>
      <c r="C258" s="68">
        <v>44</v>
      </c>
      <c r="D258" s="68" t="s">
        <v>31</v>
      </c>
      <c r="E258" s="68" t="s">
        <v>24</v>
      </c>
      <c r="F258" s="68" t="s">
        <v>38</v>
      </c>
      <c r="G258" s="5">
        <v>7406.9999999999991</v>
      </c>
      <c r="H258" s="5">
        <v>9875.9999999999982</v>
      </c>
      <c r="I258" s="5">
        <v>3697.8328126252945</v>
      </c>
      <c r="J258" s="5">
        <v>3117.8328126252945</v>
      </c>
      <c r="K258" s="5">
        <v>3</v>
      </c>
      <c r="L258" s="5">
        <v>12036.159999999996</v>
      </c>
    </row>
    <row r="259" spans="1:12" ht="17.25" outlineLevel="1" x14ac:dyDescent="0.3">
      <c r="A259" s="68">
        <v>258</v>
      </c>
      <c r="B259" s="69">
        <v>4200000</v>
      </c>
      <c r="C259" s="68">
        <v>24</v>
      </c>
      <c r="D259" s="68" t="s">
        <v>37</v>
      </c>
      <c r="E259" s="68" t="s">
        <v>24</v>
      </c>
      <c r="F259" s="68" t="s">
        <v>38</v>
      </c>
      <c r="G259" s="5">
        <v>4057.2</v>
      </c>
      <c r="H259" s="5">
        <v>5409.5999999999995</v>
      </c>
      <c r="I259" s="5">
        <v>2287.7995527721541</v>
      </c>
      <c r="J259" s="5">
        <v>1707.7995527721544</v>
      </c>
      <c r="K259" s="5">
        <v>3</v>
      </c>
      <c r="L259" s="5">
        <v>6855.1359999999986</v>
      </c>
    </row>
    <row r="260" spans="1:12" ht="17.25" outlineLevel="1" x14ac:dyDescent="0.3">
      <c r="A260" s="68">
        <v>259</v>
      </c>
      <c r="B260" s="69">
        <v>5300000</v>
      </c>
      <c r="C260" s="68">
        <v>80</v>
      </c>
      <c r="D260" s="68" t="s">
        <v>37</v>
      </c>
      <c r="E260" s="68" t="s">
        <v>24</v>
      </c>
      <c r="F260" s="68" t="s">
        <v>38</v>
      </c>
      <c r="G260" s="5">
        <v>310537.59999999998</v>
      </c>
      <c r="H260" s="5">
        <v>414050.1333333333</v>
      </c>
      <c r="I260" s="5">
        <v>131294.77235505721</v>
      </c>
      <c r="J260" s="5">
        <v>130714.77235505723</v>
      </c>
      <c r="K260" s="5">
        <v>3</v>
      </c>
      <c r="L260" s="5">
        <v>480878.15466666658</v>
      </c>
    </row>
    <row r="261" spans="1:12" ht="17.25" outlineLevel="1" x14ac:dyDescent="0.3">
      <c r="A261" s="68">
        <v>260</v>
      </c>
      <c r="B261" s="69">
        <v>7400000</v>
      </c>
      <c r="C261" s="68">
        <v>88</v>
      </c>
      <c r="D261" s="68" t="s">
        <v>31</v>
      </c>
      <c r="E261" s="68" t="s">
        <v>24</v>
      </c>
      <c r="F261" s="68" t="s">
        <v>53</v>
      </c>
      <c r="G261" s="5">
        <v>857156.8</v>
      </c>
      <c r="H261" s="5">
        <v>1142875.7333333334</v>
      </c>
      <c r="I261" s="5">
        <v>1444830.007037011</v>
      </c>
      <c r="K261" s="5">
        <v>0</v>
      </c>
      <c r="L261" s="5">
        <v>1326315.8506666666</v>
      </c>
    </row>
    <row r="262" spans="1:12" ht="17.25" outlineLevel="1" x14ac:dyDescent="0.3">
      <c r="A262" s="68">
        <v>261</v>
      </c>
      <c r="B262" s="69">
        <v>7600000</v>
      </c>
      <c r="C262" s="68">
        <v>37</v>
      </c>
      <c r="D262" s="68" t="s">
        <v>31</v>
      </c>
      <c r="E262" s="68" t="s">
        <v>24</v>
      </c>
      <c r="F262" s="68" t="s">
        <v>53</v>
      </c>
      <c r="G262" s="5">
        <v>22344</v>
      </c>
      <c r="H262" s="5">
        <v>29792</v>
      </c>
      <c r="I262" s="5">
        <v>38228.096774399935</v>
      </c>
      <c r="K262" s="5">
        <v>0</v>
      </c>
      <c r="L262" s="5">
        <v>35138.720000000001</v>
      </c>
    </row>
    <row r="263" spans="1:12" ht="17.25" outlineLevel="1" x14ac:dyDescent="0.3">
      <c r="A263" s="68">
        <v>262</v>
      </c>
      <c r="B263" s="69">
        <v>1700000</v>
      </c>
      <c r="C263" s="68">
        <v>28</v>
      </c>
      <c r="D263" s="68" t="s">
        <v>37</v>
      </c>
      <c r="E263" s="68" t="s">
        <v>24</v>
      </c>
      <c r="F263" s="68" t="s">
        <v>36</v>
      </c>
      <c r="G263" s="5">
        <v>2210</v>
      </c>
      <c r="H263" s="5">
        <v>2946.6666666666665</v>
      </c>
      <c r="I263" s="5">
        <v>891.65187241722049</v>
      </c>
      <c r="J263" s="5">
        <v>311.65187241722055</v>
      </c>
      <c r="K263" s="5">
        <v>11</v>
      </c>
      <c r="L263" s="5">
        <v>3998.1333333333328</v>
      </c>
    </row>
    <row r="264" spans="1:12" ht="17.25" outlineLevel="1" x14ac:dyDescent="0.3">
      <c r="A264" s="68">
        <v>263</v>
      </c>
      <c r="B264" s="69">
        <v>3800000</v>
      </c>
      <c r="C264" s="68">
        <v>61</v>
      </c>
      <c r="D264" s="68" t="s">
        <v>37</v>
      </c>
      <c r="E264" s="68" t="s">
        <v>24</v>
      </c>
      <c r="F264" s="68" t="s">
        <v>38</v>
      </c>
      <c r="G264" s="5">
        <v>56673.2</v>
      </c>
      <c r="H264" s="5">
        <v>75564.266666666663</v>
      </c>
      <c r="I264" s="5">
        <v>24435.482996689065</v>
      </c>
      <c r="J264" s="5">
        <v>23855.482996689065</v>
      </c>
      <c r="K264" s="5">
        <v>3</v>
      </c>
      <c r="L264" s="5">
        <v>88234.549333333329</v>
      </c>
    </row>
    <row r="265" spans="1:12" ht="17.25" outlineLevel="1" x14ac:dyDescent="0.3">
      <c r="A265" s="68">
        <v>264</v>
      </c>
      <c r="B265" s="69">
        <v>7700000</v>
      </c>
      <c r="C265" s="68">
        <v>68</v>
      </c>
      <c r="D265" s="68" t="s">
        <v>37</v>
      </c>
      <c r="E265" s="68" t="s">
        <v>24</v>
      </c>
      <c r="F265" s="68" t="s">
        <v>30</v>
      </c>
      <c r="G265" s="5">
        <v>191352.7</v>
      </c>
      <c r="H265" s="5">
        <v>255136.93333333335</v>
      </c>
      <c r="I265" s="5">
        <v>163070.26877999425</v>
      </c>
      <c r="J265" s="5">
        <v>162490.26877999425</v>
      </c>
      <c r="K265" s="5">
        <v>1</v>
      </c>
      <c r="L265" s="5">
        <v>296538.84266666666</v>
      </c>
    </row>
    <row r="266" spans="1:12" ht="17.25" outlineLevel="1" x14ac:dyDescent="0.3">
      <c r="A266" s="68">
        <v>265</v>
      </c>
      <c r="B266" s="69">
        <v>8800000</v>
      </c>
      <c r="C266" s="68">
        <v>25</v>
      </c>
      <c r="D266" s="68" t="s">
        <v>37</v>
      </c>
      <c r="E266" s="68" t="s">
        <v>24</v>
      </c>
      <c r="F266" s="68" t="s">
        <v>52</v>
      </c>
      <c r="G266" s="5">
        <v>9160.8000000000011</v>
      </c>
      <c r="H266" s="5">
        <v>12214.400000000001</v>
      </c>
      <c r="I266" s="5">
        <v>3151.4604109087213</v>
      </c>
      <c r="J266" s="5">
        <v>2571.4604109087213</v>
      </c>
      <c r="K266" s="5">
        <v>5</v>
      </c>
      <c r="L266" s="5">
        <v>14748.704000000002</v>
      </c>
    </row>
    <row r="267" spans="1:12" ht="17.25" outlineLevel="1" x14ac:dyDescent="0.3">
      <c r="A267" s="68">
        <v>266</v>
      </c>
      <c r="B267" s="69">
        <v>7400000</v>
      </c>
      <c r="C267" s="68">
        <v>74</v>
      </c>
      <c r="D267" s="68" t="s">
        <v>37</v>
      </c>
      <c r="E267" s="68" t="s">
        <v>24</v>
      </c>
      <c r="F267" s="68" t="s">
        <v>38</v>
      </c>
      <c r="G267" s="5">
        <v>283420</v>
      </c>
      <c r="H267" s="5">
        <v>377893.33333333331</v>
      </c>
      <c r="I267" s="5">
        <v>119880.14523481317</v>
      </c>
      <c r="J267" s="5">
        <v>119300.14523481317</v>
      </c>
      <c r="K267" s="5">
        <v>3</v>
      </c>
      <c r="L267" s="5">
        <v>438936.2666666666</v>
      </c>
    </row>
    <row r="268" spans="1:12" ht="17.25" outlineLevel="1" x14ac:dyDescent="0.3">
      <c r="A268" s="68">
        <v>267</v>
      </c>
      <c r="B268" s="69">
        <v>5600000</v>
      </c>
      <c r="C268" s="68">
        <v>66</v>
      </c>
      <c r="D268" s="68" t="s">
        <v>31</v>
      </c>
      <c r="E268" s="68" t="s">
        <v>24</v>
      </c>
      <c r="F268" s="68" t="s">
        <v>52</v>
      </c>
      <c r="G268" s="5">
        <v>139165.6</v>
      </c>
      <c r="H268" s="5">
        <v>185554.13333333333</v>
      </c>
      <c r="I268" s="5">
        <v>39644.146249275029</v>
      </c>
      <c r="J268" s="5">
        <v>39064.146249275029</v>
      </c>
      <c r="K268" s="5">
        <v>5</v>
      </c>
      <c r="L268" s="5">
        <v>215822.79466666665</v>
      </c>
    </row>
    <row r="269" spans="1:12" ht="17.25" outlineLevel="1" x14ac:dyDescent="0.3">
      <c r="A269" s="68">
        <v>268</v>
      </c>
      <c r="B269" s="69">
        <v>4300000</v>
      </c>
      <c r="C269" s="68">
        <v>51</v>
      </c>
      <c r="D269" s="68" t="s">
        <v>37</v>
      </c>
      <c r="E269" s="68" t="s">
        <v>24</v>
      </c>
      <c r="F269" s="68" t="s">
        <v>53</v>
      </c>
      <c r="G269" s="5">
        <v>30723.5</v>
      </c>
      <c r="H269" s="5">
        <v>40964.666666666664</v>
      </c>
      <c r="I269" s="5">
        <v>52346.975530266573</v>
      </c>
      <c r="K269" s="5">
        <v>0</v>
      </c>
      <c r="L269" s="5">
        <v>48099.013333333329</v>
      </c>
    </row>
    <row r="270" spans="1:12" ht="17.25" outlineLevel="1" x14ac:dyDescent="0.3">
      <c r="A270" s="68">
        <v>269</v>
      </c>
      <c r="B270" s="69">
        <v>4900000</v>
      </c>
      <c r="C270" s="68">
        <v>17</v>
      </c>
      <c r="D270" s="68" t="s">
        <v>37</v>
      </c>
      <c r="E270" s="68" t="s">
        <v>24</v>
      </c>
      <c r="F270" s="68" t="s">
        <v>36</v>
      </c>
      <c r="G270" s="5">
        <v>2817.5</v>
      </c>
      <c r="H270" s="5">
        <v>3756.6666666666665</v>
      </c>
      <c r="I270" s="5">
        <v>977.32088259525733</v>
      </c>
      <c r="J270" s="5">
        <v>397.32088259525739</v>
      </c>
      <c r="K270" s="5">
        <v>11</v>
      </c>
      <c r="L270" s="5">
        <v>4937.7333333333327</v>
      </c>
    </row>
    <row r="271" spans="1:12" ht="17.25" outlineLevel="1" x14ac:dyDescent="0.3">
      <c r="A271" s="68">
        <v>270</v>
      </c>
      <c r="B271" s="69">
        <v>9500000</v>
      </c>
      <c r="C271" s="68">
        <v>104</v>
      </c>
      <c r="D271" s="68" t="s">
        <v>31</v>
      </c>
      <c r="E271" s="68" t="s">
        <v>24</v>
      </c>
      <c r="F271" s="68" t="s">
        <v>38</v>
      </c>
      <c r="G271" s="5">
        <v>5462.5</v>
      </c>
      <c r="H271" s="5">
        <v>7283.333333333333</v>
      </c>
      <c r="I271" s="5">
        <v>2879.3332980917612</v>
      </c>
      <c r="J271" s="5">
        <v>2299.3332980917612</v>
      </c>
      <c r="K271" s="5">
        <v>3</v>
      </c>
      <c r="L271" s="5">
        <v>9028.6666666666661</v>
      </c>
    </row>
    <row r="272" spans="1:12" ht="17.25" outlineLevel="1" x14ac:dyDescent="0.3">
      <c r="A272" s="68">
        <v>271</v>
      </c>
      <c r="B272" s="69">
        <v>5600000</v>
      </c>
      <c r="C272" s="68">
        <v>92</v>
      </c>
      <c r="D272" s="68" t="s">
        <v>31</v>
      </c>
      <c r="E272" s="68" t="s">
        <v>24</v>
      </c>
      <c r="F272" s="68" t="s">
        <v>53</v>
      </c>
      <c r="G272" s="5">
        <v>839904.8</v>
      </c>
      <c r="H272" s="5">
        <v>1119873.0666666667</v>
      </c>
      <c r="I272" s="5">
        <v>1415761.5785751443</v>
      </c>
      <c r="K272" s="5">
        <v>0</v>
      </c>
      <c r="L272" s="5">
        <v>1299632.7573333331</v>
      </c>
    </row>
    <row r="273" spans="1:12" ht="17.25" outlineLevel="1" x14ac:dyDescent="0.3">
      <c r="A273" s="68">
        <v>272</v>
      </c>
      <c r="B273" s="69">
        <v>1800000</v>
      </c>
      <c r="C273" s="68">
        <v>34</v>
      </c>
      <c r="D273" s="68" t="s">
        <v>37</v>
      </c>
      <c r="E273" s="68" t="s">
        <v>24</v>
      </c>
      <c r="F273" s="68" t="s">
        <v>30</v>
      </c>
      <c r="G273" s="5">
        <v>3652.2</v>
      </c>
      <c r="H273" s="5">
        <v>4869.5999999999995</v>
      </c>
      <c r="I273" s="5">
        <v>3681.3252472439372</v>
      </c>
      <c r="J273" s="5">
        <v>3101.3252472439372</v>
      </c>
      <c r="K273" s="5">
        <v>1</v>
      </c>
      <c r="L273" s="5">
        <v>6228.735999999999</v>
      </c>
    </row>
    <row r="274" spans="1:12" ht="17.25" outlineLevel="1" x14ac:dyDescent="0.3">
      <c r="A274" s="68">
        <v>273</v>
      </c>
      <c r="B274" s="69">
        <v>6100000</v>
      </c>
      <c r="C274" s="68">
        <v>94</v>
      </c>
      <c r="D274" s="68" t="s">
        <v>31</v>
      </c>
      <c r="E274" s="68" t="s">
        <v>24</v>
      </c>
      <c r="F274" s="68" t="s">
        <v>52</v>
      </c>
      <c r="G274" s="5">
        <v>1036817.0000000001</v>
      </c>
      <c r="H274" s="5">
        <v>1382422.6666666667</v>
      </c>
      <c r="I274" s="5">
        <v>291617.23133974627</v>
      </c>
      <c r="J274" s="5">
        <v>291037.23133974627</v>
      </c>
      <c r="K274" s="5">
        <v>5</v>
      </c>
      <c r="L274" s="5">
        <v>1604190.2933333332</v>
      </c>
    </row>
    <row r="275" spans="1:12" ht="17.25" outlineLevel="1" x14ac:dyDescent="0.3">
      <c r="A275" s="68">
        <v>274</v>
      </c>
      <c r="B275" s="69">
        <v>1100000</v>
      </c>
      <c r="C275" s="68">
        <v>29</v>
      </c>
      <c r="D275" s="68" t="s">
        <v>37</v>
      </c>
      <c r="E275" s="68" t="s">
        <v>24</v>
      </c>
      <c r="F275" s="68" t="s">
        <v>52</v>
      </c>
      <c r="G275" s="5">
        <v>1540</v>
      </c>
      <c r="H275" s="5">
        <v>2053.3333333333335</v>
      </c>
      <c r="I275" s="5">
        <v>1012.282009518757</v>
      </c>
      <c r="J275" s="5">
        <v>432.28200951875715</v>
      </c>
      <c r="K275" s="5">
        <v>5</v>
      </c>
      <c r="L275" s="5">
        <v>2961.8666666666668</v>
      </c>
    </row>
    <row r="276" spans="1:12" ht="17.25" outlineLevel="1" x14ac:dyDescent="0.3">
      <c r="A276" s="68">
        <v>275</v>
      </c>
      <c r="B276" s="69">
        <v>4500000</v>
      </c>
      <c r="C276" s="68">
        <v>48</v>
      </c>
      <c r="D276" s="68" t="s">
        <v>31</v>
      </c>
      <c r="E276" s="68" t="s">
        <v>24</v>
      </c>
      <c r="F276" s="68" t="s">
        <v>36</v>
      </c>
      <c r="G276" s="5">
        <v>29866.5</v>
      </c>
      <c r="H276" s="5">
        <v>39822</v>
      </c>
      <c r="I276" s="5">
        <v>4791.7423744565249</v>
      </c>
      <c r="J276" s="5">
        <v>4211.742374456524</v>
      </c>
      <c r="K276" s="5">
        <v>11</v>
      </c>
      <c r="L276" s="5">
        <v>46773.52</v>
      </c>
    </row>
    <row r="277" spans="1:12" ht="17.25" outlineLevel="1" x14ac:dyDescent="0.3">
      <c r="A277" s="68">
        <v>276</v>
      </c>
      <c r="B277" s="69">
        <v>1700000</v>
      </c>
      <c r="C277" s="68">
        <v>24</v>
      </c>
      <c r="D277" s="68" t="s">
        <v>37</v>
      </c>
      <c r="E277" s="68" t="s">
        <v>24</v>
      </c>
      <c r="F277" s="68" t="s">
        <v>52</v>
      </c>
      <c r="G277" s="5">
        <v>1642.1999999999998</v>
      </c>
      <c r="H277" s="5">
        <v>2189.6</v>
      </c>
      <c r="I277" s="5">
        <v>1040.9698156050019</v>
      </c>
      <c r="J277" s="5">
        <v>460.96981560500188</v>
      </c>
      <c r="K277" s="5">
        <v>5</v>
      </c>
      <c r="L277" s="5">
        <v>3119.9359999999997</v>
      </c>
    </row>
    <row r="278" spans="1:12" ht="17.25" outlineLevel="1" x14ac:dyDescent="0.3">
      <c r="A278" s="68">
        <v>277</v>
      </c>
      <c r="B278" s="69">
        <v>6600000</v>
      </c>
      <c r="C278" s="68">
        <v>43</v>
      </c>
      <c r="D278" s="68" t="s">
        <v>31</v>
      </c>
      <c r="E278" s="68" t="s">
        <v>24</v>
      </c>
      <c r="F278" s="68" t="s">
        <v>30</v>
      </c>
      <c r="G278" s="5">
        <v>30260.999999999996</v>
      </c>
      <c r="H278" s="5">
        <v>40347.999999999993</v>
      </c>
      <c r="I278" s="5">
        <v>26276.622120050593</v>
      </c>
      <c r="J278" s="5">
        <v>25696.622120050593</v>
      </c>
      <c r="K278" s="5">
        <v>1</v>
      </c>
      <c r="L278" s="5">
        <v>47383.679999999986</v>
      </c>
    </row>
    <row r="279" spans="1:12" ht="17.25" outlineLevel="1" x14ac:dyDescent="0.3">
      <c r="A279" s="68">
        <v>278</v>
      </c>
      <c r="B279" s="69">
        <v>8800000</v>
      </c>
      <c r="C279" s="68">
        <v>42</v>
      </c>
      <c r="D279" s="68" t="s">
        <v>37</v>
      </c>
      <c r="E279" s="68" t="s">
        <v>24</v>
      </c>
      <c r="F279" s="68" t="s">
        <v>30</v>
      </c>
      <c r="G279" s="5">
        <v>32313.599999999999</v>
      </c>
      <c r="H279" s="5">
        <v>43084.799999999996</v>
      </c>
      <c r="I279" s="5">
        <v>28019.620915979867</v>
      </c>
      <c r="J279" s="5">
        <v>27439.620915979867</v>
      </c>
      <c r="K279" s="5">
        <v>1</v>
      </c>
      <c r="L279" s="5">
        <v>50558.367999999995</v>
      </c>
    </row>
    <row r="280" spans="1:12" ht="17.25" outlineLevel="1" x14ac:dyDescent="0.3">
      <c r="A280" s="68">
        <v>279</v>
      </c>
      <c r="B280" s="69">
        <v>8100000</v>
      </c>
      <c r="C280" s="68">
        <v>12</v>
      </c>
      <c r="D280" s="68" t="s">
        <v>37</v>
      </c>
      <c r="E280" s="68" t="s">
        <v>24</v>
      </c>
      <c r="F280" s="68" t="s">
        <v>52</v>
      </c>
      <c r="G280" s="5">
        <v>3207.6</v>
      </c>
      <c r="H280" s="5">
        <v>4276.8</v>
      </c>
      <c r="I280" s="5">
        <v>1480.3816712547828</v>
      </c>
      <c r="J280" s="5">
        <v>900.38167125478276</v>
      </c>
      <c r="K280" s="5">
        <v>5</v>
      </c>
      <c r="L280" s="5">
        <v>5541.0879999999997</v>
      </c>
    </row>
    <row r="281" spans="1:12" ht="17.25" outlineLevel="1" x14ac:dyDescent="0.3">
      <c r="A281" s="68">
        <v>280</v>
      </c>
      <c r="B281" s="69">
        <v>5700000</v>
      </c>
      <c r="C281" s="68">
        <v>91</v>
      </c>
      <c r="D281" s="68" t="s">
        <v>31</v>
      </c>
      <c r="E281" s="68" t="s">
        <v>24</v>
      </c>
      <c r="F281" s="68" t="s">
        <v>30</v>
      </c>
      <c r="G281" s="5">
        <v>802200.9</v>
      </c>
      <c r="H281" s="5">
        <v>1069601.2</v>
      </c>
      <c r="I281" s="5">
        <v>681781.98908378754</v>
      </c>
      <c r="J281" s="5">
        <v>681201.98908378754</v>
      </c>
      <c r="K281" s="5">
        <v>1</v>
      </c>
      <c r="L281" s="5">
        <v>1241317.3919999998</v>
      </c>
    </row>
    <row r="282" spans="1:12" ht="17.25" outlineLevel="1" x14ac:dyDescent="0.3">
      <c r="A282" s="68">
        <v>281</v>
      </c>
      <c r="B282" s="69">
        <v>2000000</v>
      </c>
      <c r="C282" s="68">
        <v>21</v>
      </c>
      <c r="D282" s="68" t="s">
        <v>37</v>
      </c>
      <c r="E282" s="68" t="s">
        <v>24</v>
      </c>
      <c r="F282" s="68" t="s">
        <v>53</v>
      </c>
      <c r="G282" s="5">
        <v>1546</v>
      </c>
      <c r="H282" s="5">
        <v>2061.3333333333335</v>
      </c>
      <c r="I282" s="5">
        <v>3184.9032229333284</v>
      </c>
      <c r="K282" s="5">
        <v>0</v>
      </c>
      <c r="L282" s="5">
        <v>2971.1466666666665</v>
      </c>
    </row>
    <row r="283" spans="1:12" ht="17.25" outlineLevel="1" x14ac:dyDescent="0.3">
      <c r="A283" s="68">
        <v>282</v>
      </c>
      <c r="B283" s="69">
        <v>5200000</v>
      </c>
      <c r="C283" s="68">
        <v>37</v>
      </c>
      <c r="D283" s="68" t="s">
        <v>37</v>
      </c>
      <c r="E283" s="68" t="s">
        <v>24</v>
      </c>
      <c r="F283" s="68" t="s">
        <v>38</v>
      </c>
      <c r="G283" s="5">
        <v>13182</v>
      </c>
      <c r="H283" s="5">
        <v>17576</v>
      </c>
      <c r="I283" s="5">
        <v>6128.7069172440451</v>
      </c>
      <c r="J283" s="5">
        <v>5548.7069172440451</v>
      </c>
      <c r="K283" s="5">
        <v>3</v>
      </c>
      <c r="L283" s="5">
        <v>20968.16</v>
      </c>
    </row>
    <row r="284" spans="1:12" ht="17.25" outlineLevel="1" x14ac:dyDescent="0.3">
      <c r="A284" s="68">
        <v>283</v>
      </c>
      <c r="B284" s="69">
        <v>4500000</v>
      </c>
      <c r="C284" s="68">
        <v>56</v>
      </c>
      <c r="D284" s="68" t="s">
        <v>37</v>
      </c>
      <c r="E284" s="68" t="s">
        <v>24</v>
      </c>
      <c r="F284" s="68" t="s">
        <v>53</v>
      </c>
      <c r="G284" s="5">
        <v>46485</v>
      </c>
      <c r="H284" s="5">
        <v>61980</v>
      </c>
      <c r="I284" s="5">
        <v>78904.014435999867</v>
      </c>
      <c r="K284" s="5">
        <v>0</v>
      </c>
      <c r="L284" s="5">
        <v>72476.799999999988</v>
      </c>
    </row>
    <row r="285" spans="1:12" ht="17.25" outlineLevel="1" x14ac:dyDescent="0.3">
      <c r="A285" s="68">
        <v>284</v>
      </c>
      <c r="B285" s="69">
        <v>1900000</v>
      </c>
      <c r="C285" s="68">
        <v>60</v>
      </c>
      <c r="D285" s="68" t="s">
        <v>37</v>
      </c>
      <c r="E285" s="68" t="s">
        <v>24</v>
      </c>
      <c r="F285" s="68" t="s">
        <v>36</v>
      </c>
      <c r="G285" s="5">
        <v>26334</v>
      </c>
      <c r="H285" s="5">
        <v>35112</v>
      </c>
      <c r="I285" s="5">
        <v>4293.5929449027535</v>
      </c>
      <c r="J285" s="5">
        <v>3713.5929449027535</v>
      </c>
      <c r="K285" s="5">
        <v>11</v>
      </c>
      <c r="L285" s="5">
        <v>41309.919999999998</v>
      </c>
    </row>
    <row r="286" spans="1:12" ht="17.25" outlineLevel="1" x14ac:dyDescent="0.3">
      <c r="A286" s="68">
        <v>285</v>
      </c>
      <c r="B286" s="69">
        <v>5200000</v>
      </c>
      <c r="C286" s="68">
        <v>25</v>
      </c>
      <c r="D286" s="68" t="s">
        <v>37</v>
      </c>
      <c r="E286" s="68" t="s">
        <v>24</v>
      </c>
      <c r="F286" s="68" t="s">
        <v>53</v>
      </c>
      <c r="G286" s="5">
        <v>5413.2</v>
      </c>
      <c r="H286" s="5">
        <v>7217.5999999999995</v>
      </c>
      <c r="I286" s="5">
        <v>9700.868128319984</v>
      </c>
      <c r="K286" s="5">
        <v>0</v>
      </c>
      <c r="L286" s="5">
        <v>8952.4159999999993</v>
      </c>
    </row>
    <row r="287" spans="1:12" ht="17.25" outlineLevel="1" x14ac:dyDescent="0.3">
      <c r="A287" s="68">
        <v>286</v>
      </c>
      <c r="B287" s="69">
        <v>6900000</v>
      </c>
      <c r="C287" s="68">
        <v>32</v>
      </c>
      <c r="D287" s="68" t="s">
        <v>37</v>
      </c>
      <c r="E287" s="68" t="s">
        <v>24</v>
      </c>
      <c r="F287" s="68" t="s">
        <v>38</v>
      </c>
      <c r="G287" s="5">
        <v>12068.099999999999</v>
      </c>
      <c r="H287" s="5">
        <v>16090.799999999997</v>
      </c>
      <c r="I287" s="5">
        <v>5659.8323431947238</v>
      </c>
      <c r="J287" s="5">
        <v>5079.8323431947238</v>
      </c>
      <c r="K287" s="5">
        <v>3</v>
      </c>
      <c r="L287" s="5">
        <v>19245.327999999994</v>
      </c>
    </row>
    <row r="288" spans="1:12" ht="17.25" outlineLevel="1" x14ac:dyDescent="0.3">
      <c r="A288" s="68">
        <v>287</v>
      </c>
      <c r="B288" s="69">
        <v>5500000</v>
      </c>
      <c r="C288" s="68">
        <v>56</v>
      </c>
      <c r="D288" s="68" t="s">
        <v>37</v>
      </c>
      <c r="E288" s="68" t="s">
        <v>24</v>
      </c>
      <c r="F288" s="68" t="s">
        <v>36</v>
      </c>
      <c r="G288" s="5">
        <v>56815</v>
      </c>
      <c r="H288" s="5">
        <v>75753.333333333328</v>
      </c>
      <c r="I288" s="5">
        <v>8591.9914621648804</v>
      </c>
      <c r="J288" s="5">
        <v>8011.9914621648813</v>
      </c>
      <c r="K288" s="5">
        <v>11</v>
      </c>
      <c r="L288" s="5">
        <v>88453.866666666654</v>
      </c>
    </row>
    <row r="289" spans="1:12" ht="17.25" outlineLevel="1" x14ac:dyDescent="0.3">
      <c r="A289" s="68">
        <v>288</v>
      </c>
      <c r="B289" s="69">
        <v>6700000</v>
      </c>
      <c r="C289" s="68">
        <v>16</v>
      </c>
      <c r="D289" s="68" t="s">
        <v>31</v>
      </c>
      <c r="E289" s="68" t="s">
        <v>24</v>
      </c>
      <c r="F289" s="68" t="s">
        <v>36</v>
      </c>
      <c r="G289" s="5">
        <v>4147.3</v>
      </c>
      <c r="H289" s="5">
        <v>5529.7333333333336</v>
      </c>
      <c r="I289" s="5">
        <v>1164.8478780434114</v>
      </c>
      <c r="J289" s="5">
        <v>584.84787804341124</v>
      </c>
      <c r="K289" s="5">
        <v>11</v>
      </c>
      <c r="L289" s="5">
        <v>6994.4906666666666</v>
      </c>
    </row>
    <row r="290" spans="1:12" ht="17.25" outlineLevel="1" x14ac:dyDescent="0.3">
      <c r="A290" s="68">
        <v>289</v>
      </c>
      <c r="B290" s="69">
        <v>4800000</v>
      </c>
      <c r="C290" s="68">
        <v>16</v>
      </c>
      <c r="D290" s="68" t="s">
        <v>31</v>
      </c>
      <c r="E290" s="68" t="s">
        <v>24</v>
      </c>
      <c r="F290" s="68" t="s">
        <v>52</v>
      </c>
      <c r="G290" s="5">
        <v>2971.2</v>
      </c>
      <c r="H290" s="5">
        <v>3961.6</v>
      </c>
      <c r="I290" s="5">
        <v>1414.0235757676176</v>
      </c>
      <c r="J290" s="5">
        <v>834.02357576761767</v>
      </c>
      <c r="K290" s="5">
        <v>5</v>
      </c>
      <c r="L290" s="5">
        <v>5175.4560000000001</v>
      </c>
    </row>
    <row r="291" spans="1:12" ht="17.25" outlineLevel="1" x14ac:dyDescent="0.3">
      <c r="A291" s="68">
        <v>290</v>
      </c>
      <c r="B291" s="69">
        <v>4800000</v>
      </c>
      <c r="C291" s="68">
        <v>95</v>
      </c>
      <c r="D291" s="68" t="s">
        <v>31</v>
      </c>
      <c r="E291" s="68" t="s">
        <v>24</v>
      </c>
      <c r="F291" s="68" t="s">
        <v>53</v>
      </c>
      <c r="G291" s="5">
        <v>867518.4</v>
      </c>
      <c r="H291" s="5">
        <v>1156691.2</v>
      </c>
      <c r="I291" s="5">
        <v>1462288.5873958373</v>
      </c>
      <c r="K291" s="5">
        <v>0</v>
      </c>
      <c r="L291" s="5">
        <v>1342341.7919999999</v>
      </c>
    </row>
    <row r="292" spans="1:12" ht="17.25" outlineLevel="1" x14ac:dyDescent="0.3">
      <c r="A292" s="68">
        <v>291</v>
      </c>
      <c r="B292" s="69">
        <v>5300000</v>
      </c>
      <c r="C292" s="68">
        <v>68</v>
      </c>
      <c r="D292" s="68" t="s">
        <v>37</v>
      </c>
      <c r="E292" s="68" t="s">
        <v>24</v>
      </c>
      <c r="F292" s="68" t="s">
        <v>53</v>
      </c>
      <c r="G292" s="5">
        <v>131710.30000000002</v>
      </c>
      <c r="H292" s="5">
        <v>175613.73333333337</v>
      </c>
      <c r="I292" s="5">
        <v>222502.75870861296</v>
      </c>
      <c r="K292" s="5">
        <v>0</v>
      </c>
      <c r="L292" s="5">
        <v>204291.93066666668</v>
      </c>
    </row>
    <row r="293" spans="1:12" ht="17.25" outlineLevel="1" x14ac:dyDescent="0.3">
      <c r="A293" s="68">
        <v>292</v>
      </c>
      <c r="B293" s="69">
        <v>7600000</v>
      </c>
      <c r="C293" s="68">
        <v>61</v>
      </c>
      <c r="D293" s="68" t="s">
        <v>37</v>
      </c>
      <c r="E293" s="68" t="s">
        <v>24</v>
      </c>
      <c r="F293" s="68" t="s">
        <v>53</v>
      </c>
      <c r="G293" s="5">
        <v>113346.4</v>
      </c>
      <c r="H293" s="5">
        <v>151128.53333333333</v>
      </c>
      <c r="I293" s="5">
        <v>191560.85554197297</v>
      </c>
      <c r="K293" s="5">
        <v>0</v>
      </c>
      <c r="L293" s="5">
        <v>175889.09866666666</v>
      </c>
    </row>
    <row r="294" spans="1:12" ht="17.25" outlineLevel="1" x14ac:dyDescent="0.3">
      <c r="A294" s="68">
        <v>293</v>
      </c>
      <c r="B294" s="69">
        <v>5600000</v>
      </c>
      <c r="C294" s="68">
        <v>26</v>
      </c>
      <c r="D294" s="68" t="s">
        <v>31</v>
      </c>
      <c r="E294" s="68" t="s">
        <v>24</v>
      </c>
      <c r="F294" s="68" t="s">
        <v>38</v>
      </c>
      <c r="G294" s="5">
        <v>7280</v>
      </c>
      <c r="H294" s="5">
        <v>9706.6666666666661</v>
      </c>
      <c r="I294" s="5">
        <v>3644.3746288527268</v>
      </c>
      <c r="J294" s="5">
        <v>3064.3746288527268</v>
      </c>
      <c r="K294" s="5">
        <v>3</v>
      </c>
      <c r="L294" s="5">
        <v>11839.733333333332</v>
      </c>
    </row>
    <row r="295" spans="1:12" ht="17.25" outlineLevel="1" x14ac:dyDescent="0.3">
      <c r="A295" s="68">
        <v>294</v>
      </c>
      <c r="B295" s="69">
        <v>1800000</v>
      </c>
      <c r="C295" s="68">
        <v>21</v>
      </c>
      <c r="D295" s="68" t="s">
        <v>31</v>
      </c>
      <c r="E295" s="68" t="s">
        <v>24</v>
      </c>
      <c r="F295" s="68" t="s">
        <v>38</v>
      </c>
      <c r="G295" s="5">
        <v>1614.6</v>
      </c>
      <c r="H295" s="5">
        <v>2152.7999999999997</v>
      </c>
      <c r="I295" s="5">
        <v>1259.6345158991226</v>
      </c>
      <c r="J295" s="5">
        <v>679.63451589912268</v>
      </c>
      <c r="K295" s="5">
        <v>3</v>
      </c>
      <c r="L295" s="5">
        <v>3077.2479999999996</v>
      </c>
    </row>
    <row r="296" spans="1:12" ht="17.25" outlineLevel="1" x14ac:dyDescent="0.3">
      <c r="A296" s="68">
        <v>295</v>
      </c>
      <c r="B296" s="69">
        <v>1500000</v>
      </c>
      <c r="C296" s="68">
        <v>104</v>
      </c>
      <c r="D296" s="68" t="s">
        <v>37</v>
      </c>
      <c r="E296" s="68" t="s">
        <v>24</v>
      </c>
      <c r="F296" s="68" t="s">
        <v>30</v>
      </c>
      <c r="G296" s="5">
        <v>1345.5</v>
      </c>
      <c r="H296" s="5">
        <v>1794</v>
      </c>
      <c r="I296" s="5">
        <v>1722.5532884745405</v>
      </c>
      <c r="J296" s="5">
        <v>1142.5532884745408</v>
      </c>
      <c r="K296" s="5">
        <v>1</v>
      </c>
      <c r="L296" s="5">
        <v>2661.04</v>
      </c>
    </row>
    <row r="297" spans="1:12" ht="17.25" outlineLevel="1" x14ac:dyDescent="0.3">
      <c r="A297" s="68">
        <v>296</v>
      </c>
      <c r="B297" s="69">
        <v>7100000</v>
      </c>
      <c r="C297" s="68">
        <v>13</v>
      </c>
      <c r="D297" s="68" t="s">
        <v>37</v>
      </c>
      <c r="E297" s="68" t="s">
        <v>24</v>
      </c>
      <c r="F297" s="68" t="s">
        <v>53</v>
      </c>
      <c r="G297" s="5">
        <v>3031.7000000000003</v>
      </c>
      <c r="H297" s="5">
        <v>4042.2666666666669</v>
      </c>
      <c r="I297" s="5">
        <v>5688.2051105866576</v>
      </c>
      <c r="K297" s="5">
        <v>0</v>
      </c>
      <c r="L297" s="5">
        <v>5269.0293333333329</v>
      </c>
    </row>
    <row r="298" spans="1:12" ht="17.25" outlineLevel="1" x14ac:dyDescent="0.3">
      <c r="A298" s="68">
        <v>297</v>
      </c>
      <c r="B298" s="69">
        <v>8600000</v>
      </c>
      <c r="C298" s="68">
        <v>58</v>
      </c>
      <c r="D298" s="68" t="s">
        <v>37</v>
      </c>
      <c r="E298" s="68" t="s">
        <v>24</v>
      </c>
      <c r="F298" s="68" t="s">
        <v>30</v>
      </c>
      <c r="G298" s="5">
        <v>102916.2</v>
      </c>
      <c r="H298" s="5">
        <v>137221.6</v>
      </c>
      <c r="I298" s="5">
        <v>87972.971198293235</v>
      </c>
      <c r="J298" s="5">
        <v>87392.971198293235</v>
      </c>
      <c r="K298" s="5">
        <v>1</v>
      </c>
      <c r="L298" s="5">
        <v>159757.05599999998</v>
      </c>
    </row>
    <row r="299" spans="1:12" ht="17.25" outlineLevel="1" x14ac:dyDescent="0.3">
      <c r="A299" s="68">
        <v>298</v>
      </c>
      <c r="B299" s="69">
        <v>3200000</v>
      </c>
      <c r="C299" s="68">
        <v>83</v>
      </c>
      <c r="D299" s="68" t="s">
        <v>37</v>
      </c>
      <c r="E299" s="68" t="s">
        <v>24</v>
      </c>
      <c r="F299" s="68" t="s">
        <v>38</v>
      </c>
      <c r="G299" s="5">
        <v>231008</v>
      </c>
      <c r="H299" s="5">
        <v>308010.66666666669</v>
      </c>
      <c r="I299" s="5">
        <v>97818.331629397086</v>
      </c>
      <c r="J299" s="5">
        <v>97238.331629397086</v>
      </c>
      <c r="K299" s="5">
        <v>3</v>
      </c>
      <c r="L299" s="5">
        <v>357872.37333333335</v>
      </c>
    </row>
    <row r="300" spans="1:12" ht="17.25" outlineLevel="1" x14ac:dyDescent="0.3">
      <c r="A300" s="68">
        <v>299</v>
      </c>
      <c r="B300" s="69">
        <v>9900000</v>
      </c>
      <c r="C300" s="68">
        <v>38</v>
      </c>
      <c r="D300" s="68" t="s">
        <v>37</v>
      </c>
      <c r="E300" s="68" t="s">
        <v>24</v>
      </c>
      <c r="F300" s="68" t="s">
        <v>52</v>
      </c>
      <c r="G300" s="5">
        <v>27026.999999999996</v>
      </c>
      <c r="H300" s="5">
        <v>36035.999999999993</v>
      </c>
      <c r="I300" s="5">
        <v>8166.5492670541853</v>
      </c>
      <c r="J300" s="5">
        <v>7586.5492670541853</v>
      </c>
      <c r="K300" s="5">
        <v>5</v>
      </c>
      <c r="L300" s="5">
        <v>42381.759999999987</v>
      </c>
    </row>
    <row r="301" spans="1:12" ht="17.25" outlineLevel="1" x14ac:dyDescent="0.3">
      <c r="A301" s="68">
        <v>300</v>
      </c>
      <c r="B301" s="69">
        <v>2900000</v>
      </c>
      <c r="C301" s="68">
        <v>60</v>
      </c>
      <c r="D301" s="68" t="s">
        <v>31</v>
      </c>
      <c r="E301" s="68" t="s">
        <v>24</v>
      </c>
      <c r="F301" s="68" t="s">
        <v>52</v>
      </c>
      <c r="G301" s="5">
        <v>46539.199999999997</v>
      </c>
      <c r="H301" s="5">
        <v>62052.266666666663</v>
      </c>
      <c r="I301" s="5">
        <v>13643.674608698271</v>
      </c>
      <c r="J301" s="5">
        <v>13063.674608698271</v>
      </c>
      <c r="K301" s="5">
        <v>5</v>
      </c>
      <c r="L301" s="5">
        <v>72560.629333333331</v>
      </c>
    </row>
  </sheetData>
  <autoFilter ref="A1:L301" xr:uid="{00000000-0009-0000-0000-000003000000}"/>
  <pageMargins left="0.7" right="0.7" top="0.75" bottom="0.75" header="0.3" footer="0.3"/>
  <pageSetup orientation="portrait" r:id="rId1"/>
  <headerFooter>
    <oddFooter>&amp;C&amp;1#&amp;"Calibri"&amp;9&amp;K000000Information Classification: GENERAL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107B6BE4EE6334496BA80F1961D6143" ma:contentTypeVersion="2" ma:contentTypeDescription="Crear nuevo documento." ma:contentTypeScope="" ma:versionID="f63e04c01a01798af2f5f63380bbdca4">
  <xsd:schema xmlns:xsd="http://www.w3.org/2001/XMLSchema" xmlns:xs="http://www.w3.org/2001/XMLSchema" xmlns:p="http://schemas.microsoft.com/office/2006/metadata/properties" xmlns:ns2="848938bd-6baf-43b4-8590-3f428b168832" targetNamespace="http://schemas.microsoft.com/office/2006/metadata/properties" ma:root="true" ma:fieldsID="b1835afdda8f626ffdb8de5c62f576dc" ns2:_="">
    <xsd:import namespace="848938bd-6baf-43b4-8590-3f428b1688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8938bd-6baf-43b4-8590-3f428b16883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DA6622D-8A93-4C19-B261-37B45891A0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8938bd-6baf-43b4-8590-3f428b1688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58C7BC7-820E-4021-BC28-53166CAAEFA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Qx</vt:lpstr>
      <vt:lpstr>COTIZADOR_FORMULADO</vt:lpstr>
      <vt:lpstr>COTIZADOR_MACROS</vt:lpstr>
      <vt:lpstr>CARTERA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Ossian Ramirez</cp:lastModifiedBy>
  <cp:revision/>
  <dcterms:created xsi:type="dcterms:W3CDTF">2022-09-14T12:20:49Z</dcterms:created>
  <dcterms:modified xsi:type="dcterms:W3CDTF">2025-07-03T20:45:50Z</dcterms:modified>
  <cp:category/>
  <cp:contentStatus/>
</cp:coreProperties>
</file>